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ient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ote" sheetId="3" state="visible" r:id="rId3"/>
    <sheet xmlns:r="http://schemas.openxmlformats.org/officeDocument/2006/relationships" name="Meta" sheetId="4" state="visible" r:id="rId4"/>
  </sheets>
  <definedNames>
    <definedName name="_xlnm._FilterDatabase" localSheetId="0" hidden="1">'Ambientes'!$A$4:$Y$24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2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0" pivotButton="0" quotePrefix="0" xfId="0"/>
    <xf numFmtId="2" fontId="3" fillId="3" borderId="0" pivotButton="0" quotePrefix="0" xfId="0"/>
    <xf numFmtId="1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165" fontId="3" fillId="3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34" customWidth="1" min="3" max="3"/>
    <col width="11" customWidth="1" min="4" max="4"/>
    <col width="9" customWidth="1" min="5" max="5"/>
    <col width="6" customWidth="1" min="6" max="6"/>
    <col width="6" customWidth="1" min="7" max="7"/>
    <col width="6" customWidth="1" min="8" max="8"/>
    <col width="6" customWidth="1" min="9" max="9"/>
    <col width="9" customWidth="1" min="10" max="10"/>
    <col width="9" customWidth="1" min="11" max="11"/>
    <col width="10" customWidth="1" min="12" max="12"/>
    <col width="7" customWidth="1" min="13" max="13"/>
    <col width="7" customWidth="1" min="14" max="14"/>
    <col width="7" customWidth="1" min="15" max="15"/>
    <col width="7" customWidth="1" min="16" max="16"/>
    <col width="9" customWidth="1" min="17" max="17"/>
    <col width="9" customWidth="1" min="18" max="18"/>
    <col width="10" customWidth="1" min="19" max="19"/>
    <col width="10" customWidth="1" min="20" max="20"/>
    <col width="22" customWidth="1" min="21" max="21"/>
    <col width="10" customWidth="1" min="22" max="22"/>
    <col width="9" customWidth="1" min="23" max="23"/>
    <col width="10" customWidth="1" min="24" max="24"/>
    <col width="60" customWidth="1" min="25" max="25"/>
  </cols>
  <sheetData>
    <row r="1">
      <c r="A1" s="1" t="inlineStr">
        <is>
          <t>TABELA DE AREAS - ESTUDO CONCEITUAL (medidas aproximadas, nao executivas)</t>
        </is>
      </c>
    </row>
    <row r="2">
      <c r="A2" t="inlineStr">
        <is>
          <t>Fonte unica: dados/ambientes.csv (hash f48b18ad9ed1). Azul = dado de entrada; preto = formula. Parede conceitual 0.15 m: lado externo desconta 0,15; lado interno 0,075; lado aberto 0.</t>
        </is>
      </c>
    </row>
    <row r="4">
      <c r="A4" s="2" t="inlineStr">
        <is>
          <t>ID</t>
        </is>
      </c>
      <c r="B4" s="2" t="inlineStr">
        <is>
          <t>Pav.</t>
        </is>
      </c>
      <c r="C4" s="2" t="inlineStr">
        <is>
          <t>Ambiente</t>
        </is>
      </c>
      <c r="D4" s="2" t="inlineStr">
        <is>
          <t>Tipo</t>
        </is>
      </c>
      <c r="E4" s="2" t="inlineStr">
        <is>
          <t>Computa (1/0)</t>
        </is>
      </c>
      <c r="F4" s="2" t="inlineStr">
        <is>
          <t>x0</t>
        </is>
      </c>
      <c r="G4" s="2" t="inlineStr">
        <is>
          <t>y0</t>
        </is>
      </c>
      <c r="H4" s="2" t="inlineStr">
        <is>
          <t>x1</t>
        </is>
      </c>
      <c r="I4" s="2" t="inlineStr">
        <is>
          <t>y1</t>
        </is>
      </c>
      <c r="J4" s="2" t="inlineStr">
        <is>
          <t>Largura eixo (m)</t>
        </is>
      </c>
      <c r="K4" s="2" t="inlineStr">
        <is>
          <t>Prof. eixo (m)</t>
        </is>
      </c>
      <c r="L4" s="2" t="inlineStr">
        <is>
          <t>Area bruta (m2)</t>
        </is>
      </c>
      <c r="M4" s="2" t="inlineStr">
        <is>
          <t>Desc. W</t>
        </is>
      </c>
      <c r="N4" s="2" t="inlineStr">
        <is>
          <t>Desc. E</t>
        </is>
      </c>
      <c r="O4" s="2" t="inlineStr">
        <is>
          <t>Desc. S</t>
        </is>
      </c>
      <c r="P4" s="2" t="inlineStr">
        <is>
          <t>Desc. N</t>
        </is>
      </c>
      <c r="Q4" s="2" t="inlineStr">
        <is>
          <t>Largura util (m)</t>
        </is>
      </c>
      <c r="R4" s="2" t="inlineStr">
        <is>
          <t>Prof. util (m)</t>
        </is>
      </c>
      <c r="S4" s="2" t="inlineStr">
        <is>
          <t>Area util (m2)</t>
        </is>
      </c>
      <c r="T4" s="2" t="inlineStr">
        <is>
          <t>Ref. briefing (m2)</t>
        </is>
      </c>
      <c r="U4" s="2" t="inlineStr">
        <is>
          <t>Ref. (texto)</t>
        </is>
      </c>
      <c r="V4" s="2" t="inlineStr">
        <is>
          <t>Desvio util x ref.</t>
        </is>
      </c>
      <c r="W4" s="2" t="inlineStr">
        <is>
          <t>Coef. equiv. custo</t>
        </is>
      </c>
      <c r="X4" s="2" t="inlineStr">
        <is>
          <t>Area equiv. (m2)</t>
        </is>
      </c>
      <c r="Y4" s="2" t="inlineStr">
        <is>
          <t>Observacao</t>
        </is>
      </c>
    </row>
    <row r="5">
      <c r="A5" s="3" t="inlineStr">
        <is>
          <t>GAR</t>
        </is>
      </c>
      <c r="B5" s="3" t="inlineStr">
        <is>
          <t>T</t>
        </is>
      </c>
      <c r="C5" s="3" t="inlineStr">
        <is>
          <t>Garagem (2 carros + 1 moto)</t>
        </is>
      </c>
      <c r="D5" s="3" t="inlineStr">
        <is>
          <t>coberto</t>
        </is>
      </c>
      <c r="E5" s="4" t="n">
        <v>1</v>
      </c>
      <c r="F5" s="4" t="n">
        <v>0</v>
      </c>
      <c r="G5" s="4" t="n">
        <v>4</v>
      </c>
      <c r="H5" s="4" t="n">
        <v>7</v>
      </c>
      <c r="I5" s="4" t="n">
        <v>9.300000000000001</v>
      </c>
      <c r="J5" s="5">
        <f>H5-F5</f>
        <v/>
      </c>
      <c r="K5" s="5">
        <f>I5-G5</f>
        <v/>
      </c>
      <c r="L5" s="5">
        <f>J5*K5</f>
        <v/>
      </c>
      <c r="M5" s="4" t="n">
        <v>0.15</v>
      </c>
      <c r="N5" s="4" t="n">
        <v>0.15</v>
      </c>
      <c r="O5" s="4" t="n">
        <v>0</v>
      </c>
      <c r="P5" s="4" t="n">
        <v>0.075</v>
      </c>
      <c r="Q5" s="5">
        <f>J5-M5-N5</f>
        <v/>
      </c>
      <c r="R5" s="5">
        <f>K5-O5-P5</f>
        <v/>
      </c>
      <c r="S5" s="5">
        <f>Q5*R5</f>
        <v/>
      </c>
      <c r="T5" s="3" t="n">
        <v>25</v>
      </c>
      <c r="U5" s="6" t="inlineStr">
        <is>
          <t>25 m2 (planta)</t>
        </is>
      </c>
      <c r="V5" s="7">
        <f>IF(AND(T5&gt;0,E5=1),S5/T5-1,"")</f>
        <v/>
      </c>
      <c r="W5" s="4" t="n">
        <v>0.75</v>
      </c>
      <c r="X5" s="5">
        <f>L5*W5</f>
        <v/>
      </c>
      <c r="Y5" t="inlineStr">
        <is>
          <t>Frente aberta para o recuo; fechamento pelo muro/portao do lote (fora do orcamento)</t>
        </is>
      </c>
    </row>
    <row r="6">
      <c r="A6" s="3" t="inlineStr">
        <is>
          <t>ESC_T</t>
        </is>
      </c>
      <c r="B6" s="3" t="inlineStr">
        <is>
          <t>T</t>
        </is>
      </c>
      <c r="C6" s="3" t="inlineStr">
        <is>
          <t>Escada em U</t>
        </is>
      </c>
      <c r="D6" s="3" t="inlineStr">
        <is>
          <t>fechado</t>
        </is>
      </c>
      <c r="E6" s="4" t="n">
        <v>1</v>
      </c>
      <c r="F6" s="4" t="n">
        <v>0</v>
      </c>
      <c r="G6" s="4" t="n">
        <v>9.300000000000001</v>
      </c>
      <c r="H6" s="4" t="n">
        <v>2</v>
      </c>
      <c r="I6" s="4" t="n">
        <v>12.8</v>
      </c>
      <c r="J6" s="5">
        <f>H6-F6</f>
        <v/>
      </c>
      <c r="K6" s="5">
        <f>I6-G6</f>
        <v/>
      </c>
      <c r="L6" s="5">
        <f>J6*K6</f>
        <v/>
      </c>
      <c r="M6" s="4" t="n">
        <v>0.15</v>
      </c>
      <c r="N6" s="4" t="n">
        <v>0</v>
      </c>
      <c r="O6" s="4" t="n">
        <v>0.075</v>
      </c>
      <c r="P6" s="4" t="n">
        <v>0</v>
      </c>
      <c r="Q6" s="5">
        <f>J6-M6-N6</f>
        <v/>
      </c>
      <c r="R6" s="5">
        <f>K6-O6-P6</f>
        <v/>
      </c>
      <c r="S6" s="5">
        <f>Q6*R6</f>
        <v/>
      </c>
      <c r="T6" s="3" t="n">
        <v>5.25</v>
      </c>
      <c r="U6" s="6" t="inlineStr">
        <is>
          <t>~1.5 x 3.5 m</t>
        </is>
      </c>
      <c r="V6" s="7">
        <f>IF(AND(T6&gt;0,E6=1),S6/T6-1,"")</f>
        <v/>
      </c>
      <c r="W6" s="4" t="n">
        <v>1</v>
      </c>
      <c r="X6" s="5">
        <f>L6*W6</f>
        <v/>
      </c>
      <c r="Y6" t="inlineStr">
        <is>
          <t>Lances de 0.80 m; deposito sob o patamar</t>
        </is>
      </c>
    </row>
    <row r="7">
      <c r="A7" s="3" t="inlineStr">
        <is>
          <t>HALL_T</t>
        </is>
      </c>
      <c r="B7" s="3" t="inlineStr">
        <is>
          <t>T</t>
        </is>
      </c>
      <c r="C7" s="3" t="inlineStr">
        <is>
          <t>Hall de entrada</t>
        </is>
      </c>
      <c r="D7" s="3" t="inlineStr">
        <is>
          <t>fechado</t>
        </is>
      </c>
      <c r="E7" s="4" t="n">
        <v>1</v>
      </c>
      <c r="F7" s="4" t="n">
        <v>2</v>
      </c>
      <c r="G7" s="4" t="n">
        <v>9.300000000000001</v>
      </c>
      <c r="H7" s="4" t="n">
        <v>3.4</v>
      </c>
      <c r="I7" s="4" t="n">
        <v>12.8</v>
      </c>
      <c r="J7" s="5">
        <f>H7-F7</f>
        <v/>
      </c>
      <c r="K7" s="5">
        <f>I7-G7</f>
        <v/>
      </c>
      <c r="L7" s="5">
        <f>J7*K7</f>
        <v/>
      </c>
      <c r="M7" s="4" t="n">
        <v>0</v>
      </c>
      <c r="N7" s="4" t="n">
        <v>0.075</v>
      </c>
      <c r="O7" s="4" t="n">
        <v>0.075</v>
      </c>
      <c r="P7" s="4" t="n">
        <v>0</v>
      </c>
      <c r="Q7" s="5">
        <f>J7-M7-N7</f>
        <v/>
      </c>
      <c r="R7" s="5">
        <f>K7-O7-P7</f>
        <v/>
      </c>
      <c r="S7" s="5">
        <f>Q7*R7</f>
        <v/>
      </c>
      <c r="T7" s="3" t="n"/>
      <c r="U7" s="6" t="inlineStr">
        <is>
          <t>(nao definido)</t>
        </is>
      </c>
      <c r="V7" s="7">
        <f>IF(AND(T7&gt;0,E7=1),S7/T7-1,"")</f>
        <v/>
      </c>
      <c r="W7" s="4" t="n">
        <v>1</v>
      </c>
      <c r="X7" s="5">
        <f>L7*W7</f>
        <v/>
      </c>
      <c r="Y7" t="inlineStr">
        <is>
          <t>Porta pivotante alta a partir da faixa central coberta da garagem</t>
        </is>
      </c>
    </row>
    <row r="8">
      <c r="A8" s="3" t="inlineStr">
        <is>
          <t>LAVABO</t>
        </is>
      </c>
      <c r="B8" s="3" t="inlineStr">
        <is>
          <t>T</t>
        </is>
      </c>
      <c r="C8" s="3" t="inlineStr">
        <is>
          <t>Lavabo</t>
        </is>
      </c>
      <c r="D8" s="3" t="inlineStr">
        <is>
          <t>fechado</t>
        </is>
      </c>
      <c r="E8" s="4" t="n">
        <v>1</v>
      </c>
      <c r="F8" s="4" t="n">
        <v>3.4</v>
      </c>
      <c r="G8" s="4" t="n">
        <v>9.300000000000001</v>
      </c>
      <c r="H8" s="4" t="n">
        <v>5.4</v>
      </c>
      <c r="I8" s="4" t="n">
        <v>10.7</v>
      </c>
      <c r="J8" s="5">
        <f>H8-F8</f>
        <v/>
      </c>
      <c r="K8" s="5">
        <f>I8-G8</f>
        <v/>
      </c>
      <c r="L8" s="5">
        <f>J8*K8</f>
        <v/>
      </c>
      <c r="M8" s="4" t="n">
        <v>0.075</v>
      </c>
      <c r="N8" s="4" t="n">
        <v>0.15</v>
      </c>
      <c r="O8" s="4" t="n">
        <v>0.075</v>
      </c>
      <c r="P8" s="4" t="n">
        <v>0.075</v>
      </c>
      <c r="Q8" s="5">
        <f>J8-M8-N8</f>
        <v/>
      </c>
      <c r="R8" s="5">
        <f>K8-O8-P8</f>
        <v/>
      </c>
      <c r="S8" s="5">
        <f>Q8*R8</f>
        <v/>
      </c>
      <c r="T8" s="3" t="n">
        <v>2.25</v>
      </c>
      <c r="U8" s="6" t="inlineStr">
        <is>
          <t>2 a 2.5 m2</t>
        </is>
      </c>
      <c r="V8" s="7">
        <f>IF(AND(T8&gt;0,E8=1),S8/T8-1,"")</f>
        <v/>
      </c>
      <c r="W8" s="4" t="n">
        <v>1</v>
      </c>
      <c r="X8" s="5">
        <f>L8*W8</f>
        <v/>
      </c>
      <c r="Y8" t="inlineStr">
        <is>
          <t>Janela basculante para o patio de servico</t>
        </is>
      </c>
    </row>
    <row r="9">
      <c r="A9" s="3" t="inlineStr">
        <is>
          <t>LAVAND</t>
        </is>
      </c>
      <c r="B9" s="3" t="inlineStr">
        <is>
          <t>T</t>
        </is>
      </c>
      <c r="C9" s="3" t="inlineStr">
        <is>
          <t>Lavanderia</t>
        </is>
      </c>
      <c r="D9" s="3" t="inlineStr">
        <is>
          <t>fechado</t>
        </is>
      </c>
      <c r="E9" s="4" t="n">
        <v>1</v>
      </c>
      <c r="F9" s="4" t="n">
        <v>3.4</v>
      </c>
      <c r="G9" s="4" t="n">
        <v>10.7</v>
      </c>
      <c r="H9" s="4" t="n">
        <v>5.4</v>
      </c>
      <c r="I9" s="4" t="n">
        <v>12.8</v>
      </c>
      <c r="J9" s="5">
        <f>H9-F9</f>
        <v/>
      </c>
      <c r="K9" s="5">
        <f>I9-G9</f>
        <v/>
      </c>
      <c r="L9" s="5">
        <f>J9*K9</f>
        <v/>
      </c>
      <c r="M9" s="4" t="n">
        <v>0.075</v>
      </c>
      <c r="N9" s="4" t="n">
        <v>0.15</v>
      </c>
      <c r="O9" s="4" t="n">
        <v>0.075</v>
      </c>
      <c r="P9" s="4" t="n">
        <v>0.075</v>
      </c>
      <c r="Q9" s="5">
        <f>J9-M9-N9</f>
        <v/>
      </c>
      <c r="R9" s="5">
        <f>K9-O9-P9</f>
        <v/>
      </c>
      <c r="S9" s="5">
        <f>Q9*R9</f>
        <v/>
      </c>
      <c r="T9" s="3" t="n">
        <v>5</v>
      </c>
      <c r="U9" s="6" t="inlineStr">
        <is>
          <t>5 m2</t>
        </is>
      </c>
      <c r="V9" s="7">
        <f>IF(AND(T9&gt;0,E9=1),S9/T9-1,"")</f>
        <v/>
      </c>
      <c r="W9" s="4" t="n">
        <v>1</v>
      </c>
      <c r="X9" s="5">
        <f>L9*W9</f>
        <v/>
      </c>
      <c r="Y9" t="inlineStr">
        <is>
          <t>Acesso pela cozinha; porta para o patio de servico (secagem)</t>
        </is>
      </c>
    </row>
    <row r="10">
      <c r="A10" s="3" t="inlineStr">
        <is>
          <t>SALA_COZ</t>
        </is>
      </c>
      <c r="B10" s="3" t="inlineStr">
        <is>
          <t>T</t>
        </is>
      </c>
      <c r="C10" s="3" t="inlineStr">
        <is>
          <t>Sala e cozinha integradas</t>
        </is>
      </c>
      <c r="D10" s="3" t="inlineStr">
        <is>
          <t>fechado</t>
        </is>
      </c>
      <c r="E10" s="4" t="n">
        <v>1</v>
      </c>
      <c r="F10" s="4" t="n">
        <v>0</v>
      </c>
      <c r="G10" s="4" t="n">
        <v>12.8</v>
      </c>
      <c r="H10" s="4" t="n">
        <v>7</v>
      </c>
      <c r="I10" s="4" t="n">
        <v>16.9</v>
      </c>
      <c r="J10" s="5">
        <f>H10-F10</f>
        <v/>
      </c>
      <c r="K10" s="5">
        <f>I10-G10</f>
        <v/>
      </c>
      <c r="L10" s="5">
        <f>J10*K10</f>
        <v/>
      </c>
      <c r="M10" s="4" t="n">
        <v>0.15</v>
      </c>
      <c r="N10" s="4" t="n">
        <v>0.15</v>
      </c>
      <c r="O10" s="4" t="n">
        <v>0.075</v>
      </c>
      <c r="P10" s="4" t="n">
        <v>0.075</v>
      </c>
      <c r="Q10" s="5">
        <f>J10-M10-N10</f>
        <v/>
      </c>
      <c r="R10" s="5">
        <f>K10-O10-P10</f>
        <v/>
      </c>
      <c r="S10" s="5">
        <f>Q10*R10</f>
        <v/>
      </c>
      <c r="T10" s="3" t="n">
        <v>27</v>
      </c>
      <c r="U10" s="6" t="inlineStr">
        <is>
          <t>26 a 28 m2</t>
        </is>
      </c>
      <c r="V10" s="7">
        <f>IF(AND(T10&gt;0,E10=1),S10/T10-1,"")</f>
        <v/>
      </c>
      <c r="W10" s="4" t="n">
        <v>1</v>
      </c>
      <c r="X10" s="5">
        <f>L10*W10</f>
        <v/>
      </c>
      <c r="Y10" t="inlineStr">
        <is>
          <t>Sem sala de jantar separada; peninsula compacta</t>
        </is>
      </c>
    </row>
    <row r="11">
      <c r="A11" s="3" t="inlineStr">
        <is>
          <t>GOURMET</t>
        </is>
      </c>
      <c r="B11" s="3" t="inlineStr">
        <is>
          <t>T</t>
        </is>
      </c>
      <c r="C11" s="3" t="inlineStr">
        <is>
          <t>Area gourmet</t>
        </is>
      </c>
      <c r="D11" s="3" t="inlineStr">
        <is>
          <t>coberto</t>
        </is>
      </c>
      <c r="E11" s="4" t="n">
        <v>1</v>
      </c>
      <c r="F11" s="4" t="n">
        <v>0</v>
      </c>
      <c r="G11" s="4" t="n">
        <v>16.9</v>
      </c>
      <c r="H11" s="4" t="n">
        <v>5.2</v>
      </c>
      <c r="I11" s="4" t="n">
        <v>20</v>
      </c>
      <c r="J11" s="5">
        <f>H11-F11</f>
        <v/>
      </c>
      <c r="K11" s="5">
        <f>I11-G11</f>
        <v/>
      </c>
      <c r="L11" s="5">
        <f>J11*K11</f>
        <v/>
      </c>
      <c r="M11" s="4" t="n">
        <v>0.15</v>
      </c>
      <c r="N11" s="4" t="n">
        <v>0</v>
      </c>
      <c r="O11" s="4" t="n">
        <v>0.075</v>
      </c>
      <c r="P11" s="4" t="n">
        <v>0.15</v>
      </c>
      <c r="Q11" s="5">
        <f>J11-M11-N11</f>
        <v/>
      </c>
      <c r="R11" s="5">
        <f>K11-O11-P11</f>
        <v/>
      </c>
      <c r="S11" s="5">
        <f>Q11*R11</f>
        <v/>
      </c>
      <c r="T11" s="3" t="n">
        <v>15</v>
      </c>
      <c r="U11" s="6" t="inlineStr">
        <is>
          <t>15 m2 (planta)</t>
        </is>
      </c>
      <c r="V11" s="7">
        <f>IF(AND(T11&gt;0,E11=1),S11/T11-1,"")</f>
        <v/>
      </c>
      <c r="W11" s="4" t="n">
        <v>0.75</v>
      </c>
      <c r="X11" s="5">
        <f>L11*W11</f>
        <v/>
      </c>
      <c r="Y11" t="inlineStr">
        <is>
          <t>Coberta por laje propria; lado leste aberto para o jardim</t>
        </is>
      </c>
    </row>
    <row r="12">
      <c r="A12" s="3" t="inlineStr">
        <is>
          <t>PATIO</t>
        </is>
      </c>
      <c r="B12" s="3" t="inlineStr">
        <is>
          <t>T</t>
        </is>
      </c>
      <c r="C12" s="3" t="inlineStr">
        <is>
          <t>Patio de servico / poco de luz</t>
        </is>
      </c>
      <c r="D12" s="3" t="inlineStr">
        <is>
          <t>descoberto</t>
        </is>
      </c>
      <c r="E12" s="4" t="n">
        <v>0</v>
      </c>
      <c r="F12" s="4" t="n">
        <v>5.4</v>
      </c>
      <c r="G12" s="4" t="n">
        <v>9.300000000000001</v>
      </c>
      <c r="H12" s="4" t="n">
        <v>7</v>
      </c>
      <c r="I12" s="4" t="n">
        <v>12.8</v>
      </c>
      <c r="J12" s="5">
        <f>H12-F12</f>
        <v/>
      </c>
      <c r="K12" s="5">
        <f>I12-G12</f>
        <v/>
      </c>
      <c r="L12" s="5">
        <f>J12*K12</f>
        <v/>
      </c>
      <c r="M12" s="4" t="n">
        <v>0</v>
      </c>
      <c r="N12" s="4" t="n">
        <v>0</v>
      </c>
      <c r="O12" s="4" t="n">
        <v>0</v>
      </c>
      <c r="P12" s="4" t="n">
        <v>0</v>
      </c>
      <c r="Q12" s="5">
        <f>J12-M12-N12</f>
        <v/>
      </c>
      <c r="R12" s="5">
        <f>K12-O12-P12</f>
        <v/>
      </c>
      <c r="S12" s="5">
        <f>Q12*R12</f>
        <v/>
      </c>
      <c r="T12" s="3" t="n"/>
      <c r="U12" s="6" t="inlineStr"/>
      <c r="V12" s="7">
        <f>IF(AND(T12&gt;0,E12=1),S12/T12-1,"")</f>
        <v/>
      </c>
      <c r="W12" s="4" t="n">
        <v>0</v>
      </c>
      <c r="X12" s="5">
        <f>L12*W12</f>
        <v/>
      </c>
      <c r="Y12" t="inlineStr">
        <is>
          <t>Descoberto nos dois pavimentos; ilumina lavabo lavanderia cozinha</t>
        </is>
      </c>
    </row>
    <row r="13">
      <c r="A13" s="3" t="inlineStr">
        <is>
          <t>JARDIM_F</t>
        </is>
      </c>
      <c r="B13" s="3" t="inlineStr">
        <is>
          <t>T</t>
        </is>
      </c>
      <c r="C13" s="3" t="inlineStr">
        <is>
          <t>Jardim de fundo</t>
        </is>
      </c>
      <c r="D13" s="3" t="inlineStr">
        <is>
          <t>descoberto</t>
        </is>
      </c>
      <c r="E13" s="4" t="n">
        <v>0</v>
      </c>
      <c r="F13" s="4" t="n">
        <v>5.2</v>
      </c>
      <c r="G13" s="4" t="n">
        <v>16.9</v>
      </c>
      <c r="H13" s="4" t="n">
        <v>7</v>
      </c>
      <c r="I13" s="4" t="n">
        <v>20</v>
      </c>
      <c r="J13" s="5">
        <f>H13-F13</f>
        <v/>
      </c>
      <c r="K13" s="5">
        <f>I13-G13</f>
        <v/>
      </c>
      <c r="L13" s="5">
        <f>J13*K13</f>
        <v/>
      </c>
      <c r="M13" s="4" t="n">
        <v>0</v>
      </c>
      <c r="N13" s="4" t="n">
        <v>0</v>
      </c>
      <c r="O13" s="4" t="n">
        <v>0</v>
      </c>
      <c r="P13" s="4" t="n">
        <v>0</v>
      </c>
      <c r="Q13" s="5">
        <f>J13-M13-N13</f>
        <v/>
      </c>
      <c r="R13" s="5">
        <f>K13-O13-P13</f>
        <v/>
      </c>
      <c r="S13" s="5">
        <f>Q13*R13</f>
        <v/>
      </c>
      <c r="T13" s="3" t="n"/>
      <c r="U13" s="6" t="inlineStr"/>
      <c r="V13" s="7">
        <f>IF(AND(T13&gt;0,E13=1),S13/T13-1,"")</f>
        <v/>
      </c>
      <c r="W13" s="4" t="n">
        <v>0</v>
      </c>
      <c r="X13" s="5">
        <f>L13*W13</f>
        <v/>
      </c>
      <c r="Y13" t="inlineStr">
        <is>
          <t>Area permeavel com arvore de pequeno porte</t>
        </is>
      </c>
    </row>
    <row r="14">
      <c r="A14" s="3" t="inlineStr">
        <is>
          <t>RECUO</t>
        </is>
      </c>
      <c r="B14" s="3" t="inlineStr">
        <is>
          <t>T</t>
        </is>
      </c>
      <c r="C14" s="3" t="inlineStr">
        <is>
          <t>Recuo frontal (jardim e acesso)</t>
        </is>
      </c>
      <c r="D14" s="3" t="inlineStr">
        <is>
          <t>descoberto</t>
        </is>
      </c>
      <c r="E14" s="4" t="n">
        <v>0</v>
      </c>
      <c r="F14" s="4" t="n">
        <v>0</v>
      </c>
      <c r="G14" s="4" t="n">
        <v>0</v>
      </c>
      <c r="H14" s="4" t="n">
        <v>7</v>
      </c>
      <c r="I14" s="4" t="n">
        <v>4</v>
      </c>
      <c r="J14" s="5">
        <f>H14-F14</f>
        <v/>
      </c>
      <c r="K14" s="5">
        <f>I14-G14</f>
        <v/>
      </c>
      <c r="L14" s="5">
        <f>J14*K14</f>
        <v/>
      </c>
      <c r="M14" s="4" t="n">
        <v>0</v>
      </c>
      <c r="N14" s="4" t="n">
        <v>0</v>
      </c>
      <c r="O14" s="4" t="n">
        <v>0</v>
      </c>
      <c r="P14" s="4" t="n">
        <v>0</v>
      </c>
      <c r="Q14" s="5">
        <f>J14-M14-N14</f>
        <v/>
      </c>
      <c r="R14" s="5">
        <f>K14-O14-P14</f>
        <v/>
      </c>
      <c r="S14" s="5">
        <f>Q14*R14</f>
        <v/>
      </c>
      <c r="T14" s="3" t="n"/>
      <c r="U14" s="6" t="inlineStr"/>
      <c r="V14" s="7">
        <f>IF(AND(T14&gt;0,E14=1),S14/T14-1,"")</f>
        <v/>
      </c>
      <c r="W14" s="4" t="n">
        <v>0</v>
      </c>
      <c r="X14" s="5">
        <f>L14*W14</f>
        <v/>
      </c>
      <c r="Y14" t="inlineStr">
        <is>
          <t>Recuo frontal de 4.00 m = HIPOTESE</t>
        </is>
      </c>
    </row>
    <row r="15">
      <c r="A15" s="3" t="inlineStr">
        <is>
          <t>SACADA</t>
        </is>
      </c>
      <c r="B15" s="3" t="inlineStr">
        <is>
          <t>S</t>
        </is>
      </c>
      <c r="C15" s="3" t="inlineStr">
        <is>
          <t>Sacada jardim sobre a garagem</t>
        </is>
      </c>
      <c r="D15" s="3" t="inlineStr">
        <is>
          <t>descoberto</t>
        </is>
      </c>
      <c r="E15" s="4" t="n">
        <v>0</v>
      </c>
      <c r="F15" s="4" t="n">
        <v>0</v>
      </c>
      <c r="G15" s="4" t="n">
        <v>4</v>
      </c>
      <c r="H15" s="4" t="n">
        <v>7</v>
      </c>
      <c r="I15" s="4" t="n">
        <v>5.5</v>
      </c>
      <c r="J15" s="5">
        <f>H15-F15</f>
        <v/>
      </c>
      <c r="K15" s="5">
        <f>I15-G15</f>
        <v/>
      </c>
      <c r="L15" s="5">
        <f>J15*K15</f>
        <v/>
      </c>
      <c r="M15" s="4" t="n">
        <v>0</v>
      </c>
      <c r="N15" s="4" t="n">
        <v>0</v>
      </c>
      <c r="O15" s="4" t="n">
        <v>0</v>
      </c>
      <c r="P15" s="4" t="n">
        <v>0</v>
      </c>
      <c r="Q15" s="5">
        <f>J15-M15-N15</f>
        <v/>
      </c>
      <c r="R15" s="5">
        <f>K15-O15-P15</f>
        <v/>
      </c>
      <c r="S15" s="5">
        <f>Q15*R15</f>
        <v/>
      </c>
      <c r="T15" s="3" t="n">
        <v>8</v>
      </c>
      <c r="U15" s="6" t="inlineStr">
        <is>
          <t>8 m2 (lista) / 21 m2 (geometria)</t>
        </is>
      </c>
      <c r="V15" s="7">
        <f>IF(AND(T15&gt;0,E15=1),S15/T15-1,"")</f>
        <v/>
      </c>
      <c r="W15" s="4" t="n">
        <v>0.4</v>
      </c>
      <c r="X15" s="5">
        <f>L15*W15</f>
        <v/>
      </c>
      <c r="Y15" t="inlineStr">
        <is>
          <t>Descoberta; nao computada (HIPOTESE); jardineiras nas extremidades</t>
        </is>
      </c>
    </row>
    <row r="16">
      <c r="A16" s="3" t="inlineStr">
        <is>
          <t>ESCRIT</t>
        </is>
      </c>
      <c r="B16" s="3" t="inlineStr">
        <is>
          <t>S</t>
        </is>
      </c>
      <c r="C16" s="3" t="inlineStr">
        <is>
          <t>Escritorio independente</t>
        </is>
      </c>
      <c r="D16" s="3" t="inlineStr">
        <is>
          <t>fechado</t>
        </is>
      </c>
      <c r="E16" s="4" t="n">
        <v>1</v>
      </c>
      <c r="F16" s="4" t="n">
        <v>0</v>
      </c>
      <c r="G16" s="4" t="n">
        <v>5.5</v>
      </c>
      <c r="H16" s="4" t="n">
        <v>3</v>
      </c>
      <c r="I16" s="4" t="n">
        <v>9.300000000000001</v>
      </c>
      <c r="J16" s="5">
        <f>H16-F16</f>
        <v/>
      </c>
      <c r="K16" s="5">
        <f>I16-G16</f>
        <v/>
      </c>
      <c r="L16" s="5">
        <f>J16*K16</f>
        <v/>
      </c>
      <c r="M16" s="4" t="n">
        <v>0.15</v>
      </c>
      <c r="N16" s="4" t="n">
        <v>0.075</v>
      </c>
      <c r="O16" s="4" t="n">
        <v>0.15</v>
      </c>
      <c r="P16" s="4" t="n">
        <v>0.075</v>
      </c>
      <c r="Q16" s="5">
        <f>J16-M16-N16</f>
        <v/>
      </c>
      <c r="R16" s="5">
        <f>K16-O16-P16</f>
        <v/>
      </c>
      <c r="S16" s="5">
        <f>Q16*R16</f>
        <v/>
      </c>
      <c r="T16" s="3" t="n">
        <v>10</v>
      </c>
      <c r="U16" s="6" t="inlineStr">
        <is>
          <t>10 m2 (lista) / 20 m2 (planta)</t>
        </is>
      </c>
      <c r="V16" s="7">
        <f>IF(AND(T16&gt;0,E16=1),S16/T16-1,"")</f>
        <v/>
      </c>
      <c r="W16" s="4" t="n">
        <v>1</v>
      </c>
      <c r="X16" s="5">
        <f>L16*W16</f>
        <v/>
      </c>
      <c r="Y16" t="inlineStr">
        <is>
          <t>Porta propria; acesso a sacada</t>
        </is>
      </c>
    </row>
    <row r="17">
      <c r="A17" s="3" t="inlineStr">
        <is>
          <t>QUARTO</t>
        </is>
      </c>
      <c r="B17" s="3" t="inlineStr">
        <is>
          <t>S</t>
        </is>
      </c>
      <c r="C17" s="3" t="inlineStr">
        <is>
          <t>Quarto</t>
        </is>
      </c>
      <c r="D17" s="3" t="inlineStr">
        <is>
          <t>fechado</t>
        </is>
      </c>
      <c r="E17" s="4" t="n">
        <v>1</v>
      </c>
      <c r="F17" s="4" t="n">
        <v>3</v>
      </c>
      <c r="G17" s="4" t="n">
        <v>5.5</v>
      </c>
      <c r="H17" s="4" t="n">
        <v>7</v>
      </c>
      <c r="I17" s="4" t="n">
        <v>9.300000000000001</v>
      </c>
      <c r="J17" s="5">
        <f>H17-F17</f>
        <v/>
      </c>
      <c r="K17" s="5">
        <f>I17-G17</f>
        <v/>
      </c>
      <c r="L17" s="5">
        <f>J17*K17</f>
        <v/>
      </c>
      <c r="M17" s="4" t="n">
        <v>0.075</v>
      </c>
      <c r="N17" s="4" t="n">
        <v>0.15</v>
      </c>
      <c r="O17" s="4" t="n">
        <v>0.15</v>
      </c>
      <c r="P17" s="4" t="n">
        <v>0.075</v>
      </c>
      <c r="Q17" s="5">
        <f>J17-M17-N17</f>
        <v/>
      </c>
      <c r="R17" s="5">
        <f>K17-O17-P17</f>
        <v/>
      </c>
      <c r="S17" s="5">
        <f>Q17*R17</f>
        <v/>
      </c>
      <c r="T17" s="3" t="n">
        <v>11</v>
      </c>
      <c r="U17" s="6" t="inlineStr">
        <is>
          <t>10 a 12 m2</t>
        </is>
      </c>
      <c r="V17" s="7">
        <f>IF(AND(T17&gt;0,E17=1),S17/T17-1,"")</f>
        <v/>
      </c>
      <c r="W17" s="4" t="n">
        <v>1</v>
      </c>
      <c r="X17" s="5">
        <f>L17*W17</f>
        <v/>
      </c>
      <c r="Y17" t="inlineStr">
        <is>
          <t>Janela para o poco de luz (ventilacao cruzada)</t>
        </is>
      </c>
    </row>
    <row r="18">
      <c r="A18" s="3" t="inlineStr">
        <is>
          <t>ESC_S</t>
        </is>
      </c>
      <c r="B18" s="3" t="inlineStr">
        <is>
          <t>S</t>
        </is>
      </c>
      <c r="C18" s="3" t="inlineStr">
        <is>
          <t>Escada (chegada)</t>
        </is>
      </c>
      <c r="D18" s="3" t="inlineStr">
        <is>
          <t>fechado</t>
        </is>
      </c>
      <c r="E18" s="4" t="n">
        <v>1</v>
      </c>
      <c r="F18" s="4" t="n">
        <v>0</v>
      </c>
      <c r="G18" s="4" t="n">
        <v>9.300000000000001</v>
      </c>
      <c r="H18" s="4" t="n">
        <v>2</v>
      </c>
      <c r="I18" s="4" t="n">
        <v>12.8</v>
      </c>
      <c r="J18" s="5">
        <f>H18-F18</f>
        <v/>
      </c>
      <c r="K18" s="5">
        <f>I18-G18</f>
        <v/>
      </c>
      <c r="L18" s="5">
        <f>J18*K18</f>
        <v/>
      </c>
      <c r="M18" s="4" t="n">
        <v>0.15</v>
      </c>
      <c r="N18" s="4" t="n">
        <v>0</v>
      </c>
      <c r="O18" s="4" t="n">
        <v>0.075</v>
      </c>
      <c r="P18" s="4" t="n">
        <v>0.075</v>
      </c>
      <c r="Q18" s="5">
        <f>J18-M18-N18</f>
        <v/>
      </c>
      <c r="R18" s="5">
        <f>K18-O18-P18</f>
        <v/>
      </c>
      <c r="S18" s="5">
        <f>Q18*R18</f>
        <v/>
      </c>
      <c r="T18" s="3" t="n">
        <v>5.25</v>
      </c>
      <c r="U18" s="6" t="inlineStr">
        <is>
          <t>~1.5 x 3.5 m</t>
        </is>
      </c>
      <c r="V18" s="7">
        <f>IF(AND(T18&gt;0,E18=1),S18/T18-1,"")</f>
        <v/>
      </c>
      <c r="W18" s="4" t="n">
        <v>1</v>
      </c>
      <c r="X18" s="5">
        <f>L18*W18</f>
        <v/>
      </c>
      <c r="Y18" t="inlineStr">
        <is>
          <t>Vazio da escada + plataforma de chegada</t>
        </is>
      </c>
    </row>
    <row r="19">
      <c r="A19" s="3" t="inlineStr">
        <is>
          <t>HALL_S</t>
        </is>
      </c>
      <c r="B19" s="3" t="inlineStr">
        <is>
          <t>S</t>
        </is>
      </c>
      <c r="C19" s="3" t="inlineStr">
        <is>
          <t>Hall intimo</t>
        </is>
      </c>
      <c r="D19" s="3" t="inlineStr">
        <is>
          <t>fechado</t>
        </is>
      </c>
      <c r="E19" s="4" t="n">
        <v>1</v>
      </c>
      <c r="F19" s="4" t="n">
        <v>2</v>
      </c>
      <c r="G19" s="4" t="n">
        <v>9.300000000000001</v>
      </c>
      <c r="H19" s="4" t="n">
        <v>4</v>
      </c>
      <c r="I19" s="4" t="n">
        <v>12.8</v>
      </c>
      <c r="J19" s="5">
        <f>H19-F19</f>
        <v/>
      </c>
      <c r="K19" s="5">
        <f>I19-G19</f>
        <v/>
      </c>
      <c r="L19" s="5">
        <f>J19*K19</f>
        <v/>
      </c>
      <c r="M19" s="4" t="n">
        <v>0</v>
      </c>
      <c r="N19" s="4" t="n">
        <v>0.075</v>
      </c>
      <c r="O19" s="4" t="n">
        <v>0.075</v>
      </c>
      <c r="P19" s="4" t="n">
        <v>0.075</v>
      </c>
      <c r="Q19" s="5">
        <f>J19-M19-N19</f>
        <v/>
      </c>
      <c r="R19" s="5">
        <f>K19-O19-P19</f>
        <v/>
      </c>
      <c r="S19" s="5">
        <f>Q19*R19</f>
        <v/>
      </c>
      <c r="T19" s="3" t="n">
        <v>6</v>
      </c>
      <c r="U19" s="6" t="inlineStr">
        <is>
          <t>6 m2</t>
        </is>
      </c>
      <c r="V19" s="7">
        <f>IF(AND(T19&gt;0,E19=1),S19/T19-1,"")</f>
        <v/>
      </c>
      <c r="W19" s="4" t="n">
        <v>1</v>
      </c>
      <c r="X19" s="5">
        <f>L19*W19</f>
        <v/>
      </c>
      <c r="Y19" t="inlineStr">
        <is>
          <t>Claraboia linear sobre escada e hall</t>
        </is>
      </c>
    </row>
    <row r="20">
      <c r="A20" s="3" t="inlineStr">
        <is>
          <t>BWC_SOC</t>
        </is>
      </c>
      <c r="B20" s="3" t="inlineStr">
        <is>
          <t>S</t>
        </is>
      </c>
      <c r="C20" s="3" t="inlineStr">
        <is>
          <t>Banheiro social</t>
        </is>
      </c>
      <c r="D20" s="3" t="inlineStr">
        <is>
          <t>fechado</t>
        </is>
      </c>
      <c r="E20" s="4" t="n">
        <v>1</v>
      </c>
      <c r="F20" s="4" t="n">
        <v>4</v>
      </c>
      <c r="G20" s="4" t="n">
        <v>9.300000000000001</v>
      </c>
      <c r="H20" s="4" t="n">
        <v>5.4</v>
      </c>
      <c r="I20" s="4" t="n">
        <v>12.8</v>
      </c>
      <c r="J20" s="5">
        <f>H20-F20</f>
        <v/>
      </c>
      <c r="K20" s="5">
        <f>I20-G20</f>
        <v/>
      </c>
      <c r="L20" s="5">
        <f>J20*K20</f>
        <v/>
      </c>
      <c r="M20" s="4" t="n">
        <v>0.075</v>
      </c>
      <c r="N20" s="4" t="n">
        <v>0.15</v>
      </c>
      <c r="O20" s="4" t="n">
        <v>0.075</v>
      </c>
      <c r="P20" s="4" t="n">
        <v>0.075</v>
      </c>
      <c r="Q20" s="5">
        <f>J20-M20-N20</f>
        <v/>
      </c>
      <c r="R20" s="5">
        <f>K20-O20-P20</f>
        <v/>
      </c>
      <c r="S20" s="5">
        <f>Q20*R20</f>
        <v/>
      </c>
      <c r="T20" s="3" t="n">
        <v>4</v>
      </c>
      <c r="U20" s="6" t="inlineStr">
        <is>
          <t>4 m2</t>
        </is>
      </c>
      <c r="V20" s="7">
        <f>IF(AND(T20&gt;0,E20=1),S20/T20-1,"")</f>
        <v/>
      </c>
      <c r="W20" s="4" t="n">
        <v>1</v>
      </c>
      <c r="X20" s="5">
        <f>L20*W20</f>
        <v/>
      </c>
      <c r="Y20" t="inlineStr">
        <is>
          <t>Alinhado sobre lavabo/lavanderia (prumada hidraulica)</t>
        </is>
      </c>
    </row>
    <row r="21">
      <c r="A21" s="3" t="inlineStr">
        <is>
          <t>POCO</t>
        </is>
      </c>
      <c r="B21" s="3" t="inlineStr">
        <is>
          <t>S</t>
        </is>
      </c>
      <c r="C21" s="3" t="inlineStr">
        <is>
          <t>Poco de luz (vazio)</t>
        </is>
      </c>
      <c r="D21" s="3" t="inlineStr">
        <is>
          <t>vazio</t>
        </is>
      </c>
      <c r="E21" s="4" t="n">
        <v>0</v>
      </c>
      <c r="F21" s="4" t="n">
        <v>5.4</v>
      </c>
      <c r="G21" s="4" t="n">
        <v>9.300000000000001</v>
      </c>
      <c r="H21" s="4" t="n">
        <v>7</v>
      </c>
      <c r="I21" s="4" t="n">
        <v>12.8</v>
      </c>
      <c r="J21" s="5">
        <f>H21-F21</f>
        <v/>
      </c>
      <c r="K21" s="5">
        <f>I21-G21</f>
        <v/>
      </c>
      <c r="L21" s="5">
        <f>J21*K21</f>
        <v/>
      </c>
      <c r="M21" s="4" t="n">
        <v>0</v>
      </c>
      <c r="N21" s="4" t="n">
        <v>0</v>
      </c>
      <c r="O21" s="4" t="n">
        <v>0</v>
      </c>
      <c r="P21" s="4" t="n">
        <v>0</v>
      </c>
      <c r="Q21" s="5">
        <f>J21-M21-N21</f>
        <v/>
      </c>
      <c r="R21" s="5">
        <f>K21-O21-P21</f>
        <v/>
      </c>
      <c r="S21" s="5">
        <f>Q21*R21</f>
        <v/>
      </c>
      <c r="T21" s="3" t="n"/>
      <c r="U21" s="6" t="inlineStr"/>
      <c r="V21" s="7">
        <f>IF(AND(T21&gt;0,E21=1),S21/T21-1,"")</f>
        <v/>
      </c>
      <c r="W21" s="4" t="n">
        <v>0</v>
      </c>
      <c r="X21" s="5">
        <f>L21*W21</f>
        <v/>
      </c>
      <c r="Y21" t="inlineStr">
        <is>
          <t>Vazio sobre o patio de servico</t>
        </is>
      </c>
    </row>
    <row r="22">
      <c r="A22" s="3" t="inlineStr">
        <is>
          <t>SUITE</t>
        </is>
      </c>
      <c r="B22" s="3" t="inlineStr">
        <is>
          <t>S</t>
        </is>
      </c>
      <c r="C22" s="3" t="inlineStr">
        <is>
          <t>Suite do casal</t>
        </is>
      </c>
      <c r="D22" s="3" t="inlineStr">
        <is>
          <t>fechado</t>
        </is>
      </c>
      <c r="E22" s="4" t="n">
        <v>1</v>
      </c>
      <c r="F22" s="4" t="n">
        <v>0</v>
      </c>
      <c r="G22" s="4" t="n">
        <v>12.8</v>
      </c>
      <c r="H22" s="4" t="n">
        <v>3.7</v>
      </c>
      <c r="I22" s="4" t="n">
        <v>16.9</v>
      </c>
      <c r="J22" s="5">
        <f>H22-F22</f>
        <v/>
      </c>
      <c r="K22" s="5">
        <f>I22-G22</f>
        <v/>
      </c>
      <c r="L22" s="5">
        <f>J22*K22</f>
        <v/>
      </c>
      <c r="M22" s="4" t="n">
        <v>0.15</v>
      </c>
      <c r="N22" s="4" t="n">
        <v>0.075</v>
      </c>
      <c r="O22" s="4" t="n">
        <v>0.075</v>
      </c>
      <c r="P22" s="4" t="n">
        <v>0.15</v>
      </c>
      <c r="Q22" s="5">
        <f>J22-M22-N22</f>
        <v/>
      </c>
      <c r="R22" s="5">
        <f>K22-O22-P22</f>
        <v/>
      </c>
      <c r="S22" s="5">
        <f>Q22*R22</f>
        <v/>
      </c>
      <c r="T22" s="3" t="n">
        <v>14</v>
      </c>
      <c r="U22" s="6" t="inlineStr">
        <is>
          <t>14 m2</t>
        </is>
      </c>
      <c r="V22" s="7">
        <f>IF(AND(T22&gt;0,E22=1),S22/T22-1,"")</f>
        <v/>
      </c>
      <c r="W22" s="4" t="n">
        <v>1</v>
      </c>
      <c r="X22" s="5">
        <f>L22*W22</f>
        <v/>
      </c>
      <c r="Y22" t="inlineStr">
        <is>
          <t>Cama queen; janela para o fundo</t>
        </is>
      </c>
    </row>
    <row r="23">
      <c r="A23" s="3" t="inlineStr">
        <is>
          <t>CLOSET</t>
        </is>
      </c>
      <c r="B23" s="3" t="inlineStr">
        <is>
          <t>S</t>
        </is>
      </c>
      <c r="C23" s="3" t="inlineStr">
        <is>
          <t>Closet</t>
        </is>
      </c>
      <c r="D23" s="3" t="inlineStr">
        <is>
          <t>fechado</t>
        </is>
      </c>
      <c r="E23" s="4" t="n">
        <v>1</v>
      </c>
      <c r="F23" s="4" t="n">
        <v>3.7</v>
      </c>
      <c r="G23" s="4" t="n">
        <v>12.8</v>
      </c>
      <c r="H23" s="4" t="n">
        <v>7</v>
      </c>
      <c r="I23" s="4" t="n">
        <v>15</v>
      </c>
      <c r="J23" s="5">
        <f>H23-F23</f>
        <v/>
      </c>
      <c r="K23" s="5">
        <f>I23-G23</f>
        <v/>
      </c>
      <c r="L23" s="5">
        <f>J23*K23</f>
        <v/>
      </c>
      <c r="M23" s="4" t="n">
        <v>0.075</v>
      </c>
      <c r="N23" s="4" t="n">
        <v>0.15</v>
      </c>
      <c r="O23" s="4" t="n">
        <v>0.075</v>
      </c>
      <c r="P23" s="4" t="n">
        <v>0.075</v>
      </c>
      <c r="Q23" s="5">
        <f>J23-M23-N23</f>
        <v/>
      </c>
      <c r="R23" s="5">
        <f>K23-O23-P23</f>
        <v/>
      </c>
      <c r="S23" s="5">
        <f>Q23*R23</f>
        <v/>
      </c>
      <c r="T23" s="3" t="n">
        <v>7</v>
      </c>
      <c r="U23" s="6" t="inlineStr">
        <is>
          <t>7 m2</t>
        </is>
      </c>
      <c r="V23" s="7">
        <f>IF(AND(T23&gt;0,E23=1),S23/T23-1,"")</f>
        <v/>
      </c>
      <c r="W23" s="4" t="n">
        <v>1</v>
      </c>
      <c r="X23" s="5">
        <f>L23*W23</f>
        <v/>
      </c>
      <c r="Y23" t="inlineStr">
        <is>
          <t>Entre o dormitorio e o banheiro; armarios nos dois lados</t>
        </is>
      </c>
    </row>
    <row r="24">
      <c r="A24" s="3" t="inlineStr">
        <is>
          <t>BWC_SUI</t>
        </is>
      </c>
      <c r="B24" s="3" t="inlineStr">
        <is>
          <t>S</t>
        </is>
      </c>
      <c r="C24" s="3" t="inlineStr">
        <is>
          <t>Banheiro da suite</t>
        </is>
      </c>
      <c r="D24" s="3" t="inlineStr">
        <is>
          <t>fechado</t>
        </is>
      </c>
      <c r="E24" s="4" t="n">
        <v>1</v>
      </c>
      <c r="F24" s="4" t="n">
        <v>3.7</v>
      </c>
      <c r="G24" s="4" t="n">
        <v>15</v>
      </c>
      <c r="H24" s="4" t="n">
        <v>7</v>
      </c>
      <c r="I24" s="4" t="n">
        <v>16.9</v>
      </c>
      <c r="J24" s="5">
        <f>H24-F24</f>
        <v/>
      </c>
      <c r="K24" s="5">
        <f>I24-G24</f>
        <v/>
      </c>
      <c r="L24" s="5">
        <f>J24*K24</f>
        <v/>
      </c>
      <c r="M24" s="4" t="n">
        <v>0.075</v>
      </c>
      <c r="N24" s="4" t="n">
        <v>0.15</v>
      </c>
      <c r="O24" s="4" t="n">
        <v>0.075</v>
      </c>
      <c r="P24" s="4" t="n">
        <v>0.15</v>
      </c>
      <c r="Q24" s="5">
        <f>J24-M24-N24</f>
        <v/>
      </c>
      <c r="R24" s="5">
        <f>K24-O24-P24</f>
        <v/>
      </c>
      <c r="S24" s="5">
        <f>Q24*R24</f>
        <v/>
      </c>
      <c r="T24" s="3" t="n">
        <v>4.5</v>
      </c>
      <c r="U24" s="6" t="inlineStr">
        <is>
          <t>4 a 5 m2</t>
        </is>
      </c>
      <c r="V24" s="7">
        <f>IF(AND(T24&gt;0,E24=1),S24/T24-1,"")</f>
        <v/>
      </c>
      <c r="W24" s="4" t="n">
        <v>1</v>
      </c>
      <c r="X24" s="5">
        <f>L24*W24</f>
        <v/>
      </c>
      <c r="Y24" t="inlineStr">
        <is>
          <t>Acesso pelo closet; janela para o fundo</t>
        </is>
      </c>
    </row>
  </sheetData>
  <autoFilter ref="A4:Y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FECHAMENTO DE AREAS POR PAVIMENTO (criterio de aceite: desvio &lt;= 2%)</t>
        </is>
      </c>
    </row>
    <row r="3">
      <c r="A3" s="2" t="inlineStr">
        <is>
          <t>Pavimento</t>
        </is>
      </c>
      <c r="B3" s="2" t="inlineStr">
        <is>
          <t>Soma bruta dos ambientes computaveis (m2)</t>
        </is>
      </c>
      <c r="C3" s="2" t="inlineStr">
        <is>
          <t>Soma util (m2)</t>
        </is>
      </c>
      <c r="D3" s="2" t="inlineStr">
        <is>
          <t>Paredes e estrutura (m2)</t>
        </is>
      </c>
      <c r="E3" s="2" t="inlineStr">
        <is>
          <t>Util + paredes (m2)</t>
        </is>
      </c>
      <c r="F3" s="2" t="inlineStr">
        <is>
          <t>Area declarada do pavimento (m2)</t>
        </is>
      </c>
      <c r="G3" s="2" t="inlineStr">
        <is>
          <t>Desvio |soma/declarada - 1|</t>
        </is>
      </c>
      <c r="H3" s="2" t="inlineStr">
        <is>
          <t>Status (tol. 2%)</t>
        </is>
      </c>
      <c r="I3" s="2" t="inlineStr">
        <is>
          <t>Fecha util+paredes=bruta?</t>
        </is>
      </c>
    </row>
    <row r="4">
      <c r="A4" t="inlineStr">
        <is>
          <t>Terreo</t>
        </is>
      </c>
      <c r="B4" s="8">
        <f>SUMIFS(Ambientes!$L$5:$L$24,Ambientes!$B$5:$B$24,"T",Ambientes!$E$5:$E$24,1)</f>
        <v/>
      </c>
      <c r="C4" s="8">
        <f>SUMIFS(Ambientes!$S$5:$S$24,Ambientes!$B$5:$B$24,"T",Ambientes!$E$5:$E$24,1)</f>
        <v/>
      </c>
      <c r="D4" s="8">
        <f>B4-C4</f>
        <v/>
      </c>
      <c r="E4" s="8">
        <f>C4+D4</f>
        <v/>
      </c>
      <c r="F4" s="9" t="n">
        <v>100.82</v>
      </c>
      <c r="G4" s="10">
        <f>ABS(B4/F4-1)</f>
        <v/>
      </c>
      <c r="H4">
        <f>IF(G4&lt;=0.02,"OK","FALHA")</f>
        <v/>
      </c>
      <c r="I4">
        <f>IF(ABS(E4-B4)&lt;0.001,"OK","FALHA")</f>
        <v/>
      </c>
    </row>
    <row r="5">
      <c r="A5" t="inlineStr">
        <is>
          <t>Pavimento superior</t>
        </is>
      </c>
      <c r="B5" s="8">
        <f>SUMIFS(Ambientes!$L$5:$L$24,Ambientes!$B$5:$B$24,"S",Ambientes!$E$5:$E$24,1)</f>
        <v/>
      </c>
      <c r="C5" s="8">
        <f>SUMIFS(Ambientes!$S$5:$S$24,Ambientes!$B$5:$B$24,"S",Ambientes!$E$5:$E$24,1)</f>
        <v/>
      </c>
      <c r="D5" s="8">
        <f>B5-C5</f>
        <v/>
      </c>
      <c r="E5" s="8">
        <f>C5+D5</f>
        <v/>
      </c>
      <c r="F5" s="9" t="n">
        <v>74.2</v>
      </c>
      <c r="G5" s="10">
        <f>ABS(B5/F5-1)</f>
        <v/>
      </c>
      <c r="H5">
        <f>IF(G5&lt;=0.02,"OK","FALHA")</f>
        <v/>
      </c>
      <c r="I5">
        <f>IF(ABS(E5-B5)&lt;0.001,"OK","FALHA")</f>
        <v/>
      </c>
    </row>
    <row r="6">
      <c r="A6" s="11" t="inlineStr">
        <is>
          <t>AREA CONSTRUIDA TOTAL</t>
        </is>
      </c>
      <c r="B6" s="12">
        <f>SUM(B4:B5)</f>
        <v/>
      </c>
      <c r="C6" s="12">
        <f>SUM(C4:C5)</f>
        <v/>
      </c>
      <c r="D6" s="12">
        <f>SUM(D4:D5)</f>
        <v/>
      </c>
      <c r="E6" s="12">
        <f>SUM(E4:E5)</f>
        <v/>
      </c>
      <c r="F6" s="12">
        <f>SUM(F4:F5)</f>
        <v/>
      </c>
      <c r="G6" s="10">
        <f>ABS(B6/F6-1)</f>
        <v/>
      </c>
      <c r="H6">
        <f>IF(G6&lt;=0.02,"OK","FALHA")</f>
        <v/>
      </c>
    </row>
    <row r="8">
      <c r="A8" s="11" t="inlineStr">
        <is>
          <t>Indicadores</t>
        </is>
      </c>
    </row>
    <row r="9">
      <c r="A9" t="inlineStr">
        <is>
          <t>Area equivalente de custo (m2) - NBR 12721 (coef. hipoteticos)</t>
        </is>
      </c>
      <c r="B9" s="8">
        <f>SUM(Ambientes!$X$5:$X$24)</f>
        <v/>
      </c>
    </row>
    <row r="10">
      <c r="A10" t="inlineStr">
        <is>
          <t>Area nao computada: sacada descoberta (m2)</t>
        </is>
      </c>
      <c r="B10" s="8">
        <f>SUMIFS(Ambientes!$L$5:$L$24,Ambientes!$A$5:$A$24,"SACADA")</f>
        <v/>
      </c>
    </row>
    <row r="11">
      <c r="A11" t="inlineStr">
        <is>
          <t>Area nao computada: poco de luz / patio (m2)</t>
        </is>
      </c>
      <c r="B11" s="8">
        <f>SUMIFS(Ambientes!$L$5:$L$24,Ambientes!$A$5:$A$24,"POCO")</f>
        <v/>
      </c>
    </row>
    <row r="12">
      <c r="A12" t="inlineStr">
        <is>
          <t>Meta do briefing - area construida minima (m2)</t>
        </is>
      </c>
      <c r="B12" s="9" t="n">
        <v>125</v>
      </c>
    </row>
    <row r="13">
      <c r="A13" t="inlineStr">
        <is>
          <t>Meta do briefing - area construida maxima (m2)</t>
        </is>
      </c>
      <c r="B13" s="9" t="n">
        <v>140</v>
      </c>
    </row>
    <row r="14">
      <c r="A14" t="inlineStr">
        <is>
          <t>Excedente sobre a meta maxima (m2)</t>
        </is>
      </c>
      <c r="B14" s="8">
        <f>B6-B13</f>
        <v/>
      </c>
    </row>
    <row r="15">
      <c r="A15" t="inlineStr">
        <is>
          <t>Area construida sem garagem e gourmet (m2) - para comparar com programa 'de morar'</t>
        </is>
      </c>
      <c r="B15" s="8">
        <f>B6-SUMIFS(Ambientes!$L$5:$L$24,Ambientes!$A$5:$A$24,"GAR")-SUMIFS(Ambientes!$L$5:$L$24,Ambientes!$A$5:$A$24,"GOURMET")</f>
        <v/>
      </c>
    </row>
  </sheetData>
  <conditionalFormatting sqref="H4:H6">
    <cfRule type="cellIs" priority="1" operator="equal" dxfId="0">
      <formula>"OK"</formula>
    </cfRule>
    <cfRule type="cellIs" priority="2" operator="equal" dxfId="1">
      <formula>"FALHA"</formula>
    </cfRule>
  </conditionalFormatting>
  <conditionalFormatting sqref="I4:I6">
    <cfRule type="cellIs" priority="3" operator="equal" dxfId="0">
      <formula>"OK"</formula>
    </cfRule>
    <cfRule type="cellIs" priority="4" operator="equal" dxfId="1">
      <formula>"FALHA"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6" customWidth="1" min="1" max="1"/>
    <col width="26" customWidth="1" min="2" max="2"/>
  </cols>
  <sheetData>
    <row r="1">
      <c r="A1" s="1" t="inlineStr">
        <is>
          <t>OCUPACAO E PERMEABILIDADE DO LOTE (parametros municipais = HIPOTESES, nao confirmados)</t>
        </is>
      </c>
    </row>
    <row r="3">
      <c r="A3" t="inlineStr">
        <is>
          <t>Largura do lote (m)</t>
        </is>
      </c>
      <c r="B3" s="13" t="n">
        <v>7</v>
      </c>
    </row>
    <row r="4">
      <c r="A4" t="inlineStr">
        <is>
          <t>Profundidade do lote (m)</t>
        </is>
      </c>
      <c r="B4" s="13" t="n">
        <v>20</v>
      </c>
    </row>
    <row r="5">
      <c r="A5" t="inlineStr">
        <is>
          <t>Area do lote (m2)</t>
        </is>
      </c>
      <c r="B5" s="8">
        <f>B3*B4</f>
        <v/>
      </c>
    </row>
    <row r="6">
      <c r="A6" t="inlineStr">
        <is>
          <t>Projecao da edificacao no terreo (m2)</t>
        </is>
      </c>
      <c r="B6" s="8">
        <f>SUMIFS(Ambientes!$L$5:$L$24,Ambientes!$B$5:$B$24,"T",Ambientes!$D$5:$D$24,"fechado")+SUMIFS(Ambientes!$L$5:$L$24,Ambientes!$B$5:$B$24,"T",Ambientes!$D$5:$D$24,"coberto")</f>
        <v/>
      </c>
    </row>
    <row r="7">
      <c r="A7" t="inlineStr">
        <is>
          <t>Areas descobertas do terreo (recuo, patio, jardim) (m2)</t>
        </is>
      </c>
      <c r="B7" s="8">
        <f>SUMIFS(Ambientes!$L$5:$L$24,Ambientes!$B$5:$B$24,"T",Ambientes!$D$5:$D$24,"descoberto")</f>
        <v/>
      </c>
    </row>
    <row r="8">
      <c r="A8" t="inlineStr">
        <is>
          <t>Fechamento: projecao + descobertas = lote?</t>
        </is>
      </c>
      <c r="B8">
        <f>IF(ABS(B6+B7-B5)&lt;0.001,"OK","FALHA")</f>
        <v/>
      </c>
    </row>
    <row r="9">
      <c r="A9" t="inlineStr">
        <is>
          <t>Taxa de ocupacao (TO) resultante</t>
        </is>
      </c>
      <c r="B9" s="14">
        <f>B6/B5</f>
        <v/>
      </c>
    </row>
    <row r="10">
      <c r="A10" t="inlineStr">
        <is>
          <t>TO maxima - HIPOTESE (confirmar na LUOS de Cajamar)</t>
        </is>
      </c>
      <c r="B10" s="15" t="n">
        <v>0.7</v>
      </c>
    </row>
    <row r="11">
      <c r="A11" t="inlineStr">
        <is>
          <t>Situacao TO</t>
        </is>
      </c>
      <c r="B11">
        <f>IF(B9&lt;=B10,"ATENDE HIPOTESE","CONFLITO - ver 13_decisoes")</f>
        <v/>
      </c>
    </row>
    <row r="12">
      <c r="A12" t="inlineStr">
        <is>
          <t>Area permeavel estimada (m2)</t>
        </is>
      </c>
      <c r="B12" s="8">
        <f>I36</f>
        <v/>
      </c>
    </row>
    <row r="13">
      <c r="A13" t="inlineStr">
        <is>
          <t>Taxa de permeabilidade (TP) resultante</t>
        </is>
      </c>
      <c r="B13" s="14">
        <f>B12/B5</f>
        <v/>
      </c>
    </row>
    <row r="14">
      <c r="A14" t="inlineStr">
        <is>
          <t>TP minima - HIPOTESE (confirmar na LUOS de Cajamar)</t>
        </is>
      </c>
      <c r="B14" s="15" t="n">
        <v>0.15</v>
      </c>
    </row>
    <row r="15">
      <c r="A15" t="inlineStr">
        <is>
          <t>Situacao TP</t>
        </is>
      </c>
      <c r="B15">
        <f>IF(B13&gt;=B14,"ATENDE HIPOTESE","CONFLITO")</f>
        <v/>
      </c>
    </row>
    <row r="16">
      <c r="A16" t="inlineStr">
        <is>
          <t>Recuo frontal adotado - HIPOTESE (m)</t>
        </is>
      </c>
      <c r="B16" s="13" t="n">
        <v>4</v>
      </c>
    </row>
    <row r="17">
      <c r="A17" t="inlineStr">
        <is>
          <t>Afastamento minimo de janela a divisa (m) - Codigo Civil art. 1.301</t>
        </is>
      </c>
      <c r="B17" s="13" t="n">
        <v>1.5</v>
      </c>
    </row>
    <row r="20">
      <c r="A20" s="11" t="inlineStr">
        <is>
          <t>Superficies externas (dados/externas.csv)</t>
        </is>
      </c>
    </row>
    <row r="21">
      <c r="A21" s="16" t="inlineStr">
        <is>
          <t>ID</t>
        </is>
      </c>
      <c r="B21" s="16" t="inlineStr">
        <is>
          <t>Superficie</t>
        </is>
      </c>
      <c r="C21" s="16" t="inlineStr">
        <is>
          <t>x0</t>
        </is>
      </c>
      <c r="D21" s="16" t="inlineStr">
        <is>
          <t>y0</t>
        </is>
      </c>
      <c r="E21" s="16" t="inlineStr">
        <is>
          <t>x1</t>
        </is>
      </c>
      <c r="F21" s="16" t="inlineStr">
        <is>
          <t>y1</t>
        </is>
      </c>
      <c r="G21" s="16" t="inlineStr">
        <is>
          <t>Area (m2)</t>
        </is>
      </c>
      <c r="H21" s="16" t="inlineStr">
        <is>
          <t>Coef. permeavel (hipotese)</t>
        </is>
      </c>
      <c r="I21" s="16" t="inlineStr">
        <is>
          <t>Area permeavel (m2)</t>
        </is>
      </c>
      <c r="J21" s="16" t="inlineStr">
        <is>
          <t>Acabamento</t>
        </is>
      </c>
    </row>
    <row r="22">
      <c r="A22" s="17" t="inlineStr">
        <is>
          <t>R_TR1</t>
        </is>
      </c>
      <c r="B22" s="17" t="inlineStr">
        <is>
          <t>Trilho de concreto vaga esq. 1</t>
        </is>
      </c>
      <c r="C22" s="17" t="n">
        <v>0.55</v>
      </c>
      <c r="D22" s="17" t="n">
        <v>0</v>
      </c>
      <c r="E22" s="17" t="n">
        <v>1.05</v>
      </c>
      <c r="F22" s="17" t="n">
        <v>4</v>
      </c>
      <c r="G22" s="8">
        <f>(E22-C22)*(F22-D22)</f>
        <v/>
      </c>
      <c r="H22" s="13" t="n">
        <v>0</v>
      </c>
      <c r="I22" s="8">
        <f>G22*H22</f>
        <v/>
      </c>
      <c r="J22" t="inlineStr">
        <is>
          <t>concreto desempenado</t>
        </is>
      </c>
    </row>
    <row r="23">
      <c r="A23" s="17" t="inlineStr">
        <is>
          <t>R_TR2</t>
        </is>
      </c>
      <c r="B23" s="17" t="inlineStr">
        <is>
          <t>Trilho de concreto vaga esq. 2</t>
        </is>
      </c>
      <c r="C23" s="17" t="n">
        <v>1.65</v>
      </c>
      <c r="D23" s="17" t="n">
        <v>0</v>
      </c>
      <c r="E23" s="17" t="n">
        <v>2.15</v>
      </c>
      <c r="F23" s="17" t="n">
        <v>4</v>
      </c>
      <c r="G23" s="8">
        <f>(E23-C23)*(F23-D23)</f>
        <v/>
      </c>
      <c r="H23" s="13" t="n">
        <v>0</v>
      </c>
      <c r="I23" s="8">
        <f>G23*H23</f>
        <v/>
      </c>
      <c r="J23" t="inlineStr">
        <is>
          <t>concreto desempenado</t>
        </is>
      </c>
    </row>
    <row r="24">
      <c r="A24" s="17" t="inlineStr">
        <is>
          <t>R_TR3</t>
        </is>
      </c>
      <c r="B24" s="17" t="inlineStr">
        <is>
          <t>Trilho de concreto vaga dir. 1</t>
        </is>
      </c>
      <c r="C24" s="17" t="n">
        <v>4.75</v>
      </c>
      <c r="D24" s="17" t="n">
        <v>0</v>
      </c>
      <c r="E24" s="17" t="n">
        <v>5.25</v>
      </c>
      <c r="F24" s="17" t="n">
        <v>4</v>
      </c>
      <c r="G24" s="8">
        <f>(E24-C24)*(F24-D24)</f>
        <v/>
      </c>
      <c r="H24" s="13" t="n">
        <v>0</v>
      </c>
      <c r="I24" s="8">
        <f>G24*H24</f>
        <v/>
      </c>
      <c r="J24" t="inlineStr">
        <is>
          <t>concreto desempenado</t>
        </is>
      </c>
    </row>
    <row r="25">
      <c r="A25" s="17" t="inlineStr">
        <is>
          <t>R_TR4</t>
        </is>
      </c>
      <c r="B25" s="17" t="inlineStr">
        <is>
          <t>Trilho de concreto vaga dir. 2</t>
        </is>
      </c>
      <c r="C25" s="17" t="n">
        <v>5.85</v>
      </c>
      <c r="D25" s="17" t="n">
        <v>0</v>
      </c>
      <c r="E25" s="17" t="n">
        <v>6.35</v>
      </c>
      <c r="F25" s="17" t="n">
        <v>4</v>
      </c>
      <c r="G25" s="8">
        <f>(E25-C25)*(F25-D25)</f>
        <v/>
      </c>
      <c r="H25" s="13" t="n">
        <v>0</v>
      </c>
      <c r="I25" s="8">
        <f>G25*H25</f>
        <v/>
      </c>
      <c r="J25" t="inlineStr">
        <is>
          <t>concreto desempenado</t>
        </is>
      </c>
    </row>
    <row r="26">
      <c r="A26" s="17" t="inlineStr">
        <is>
          <t>R_CAM</t>
        </is>
      </c>
      <c r="B26" s="17" t="inlineStr">
        <is>
          <t>Caminho de pedestres (placas)</t>
        </is>
      </c>
      <c r="C26" s="17" t="n">
        <v>2.75</v>
      </c>
      <c r="D26" s="17" t="n">
        <v>0</v>
      </c>
      <c r="E26" s="17" t="n">
        <v>3.95</v>
      </c>
      <c r="F26" s="17" t="n">
        <v>4</v>
      </c>
      <c r="G26" s="8">
        <f>(E26-C26)*(F26-D26)</f>
        <v/>
      </c>
      <c r="H26" s="13" t="n">
        <v>0</v>
      </c>
      <c r="I26" s="8">
        <f>G26*H26</f>
        <v/>
      </c>
      <c r="J26" t="inlineStr">
        <is>
          <t>placas de concreto 1.20 x 0.60</t>
        </is>
      </c>
    </row>
    <row r="27">
      <c r="A27" s="17" t="inlineStr">
        <is>
          <t>R_G1</t>
        </is>
      </c>
      <c r="B27" s="17" t="inlineStr">
        <is>
          <t>Grama recuo faixa 1</t>
        </is>
      </c>
      <c r="C27" s="17" t="n">
        <v>0</v>
      </c>
      <c r="D27" s="17" t="n">
        <v>0</v>
      </c>
      <c r="E27" s="17" t="n">
        <v>0.55</v>
      </c>
      <c r="F27" s="17" t="n">
        <v>4</v>
      </c>
      <c r="G27" s="8">
        <f>(E27-C27)*(F27-D27)</f>
        <v/>
      </c>
      <c r="H27" s="13" t="n">
        <v>1</v>
      </c>
      <c r="I27" s="8">
        <f>G27*H27</f>
        <v/>
      </c>
      <c r="J27" t="inlineStr">
        <is>
          <t>grama esmeralda</t>
        </is>
      </c>
    </row>
    <row r="28">
      <c r="A28" s="17" t="inlineStr">
        <is>
          <t>R_G2</t>
        </is>
      </c>
      <c r="B28" s="17" t="inlineStr">
        <is>
          <t>Grama recuo faixa 2</t>
        </is>
      </c>
      <c r="C28" s="17" t="n">
        <v>1.05</v>
      </c>
      <c r="D28" s="17" t="n">
        <v>0</v>
      </c>
      <c r="E28" s="17" t="n">
        <v>1.65</v>
      </c>
      <c r="F28" s="17" t="n">
        <v>4</v>
      </c>
      <c r="G28" s="8">
        <f>(E28-C28)*(F28-D28)</f>
        <v/>
      </c>
      <c r="H28" s="13" t="n">
        <v>1</v>
      </c>
      <c r="I28" s="8">
        <f>G28*H28</f>
        <v/>
      </c>
      <c r="J28" t="inlineStr">
        <is>
          <t>grama esmeralda</t>
        </is>
      </c>
    </row>
    <row r="29">
      <c r="A29" s="17" t="inlineStr">
        <is>
          <t>R_G3</t>
        </is>
      </c>
      <c r="B29" s="17" t="inlineStr">
        <is>
          <t>Grama recuo faixa 3</t>
        </is>
      </c>
      <c r="C29" s="17" t="n">
        <v>2.15</v>
      </c>
      <c r="D29" s="17" t="n">
        <v>0</v>
      </c>
      <c r="E29" s="17" t="n">
        <v>2.75</v>
      </c>
      <c r="F29" s="17" t="n">
        <v>4</v>
      </c>
      <c r="G29" s="8">
        <f>(E29-C29)*(F29-D29)</f>
        <v/>
      </c>
      <c r="H29" s="13" t="n">
        <v>1</v>
      </c>
      <c r="I29" s="8">
        <f>G29*H29</f>
        <v/>
      </c>
      <c r="J29" t="inlineStr">
        <is>
          <t>grama esmeralda / forracao</t>
        </is>
      </c>
    </row>
    <row r="30">
      <c r="A30" s="17" t="inlineStr">
        <is>
          <t>R_G4</t>
        </is>
      </c>
      <c r="B30" s="17" t="inlineStr">
        <is>
          <t>Grama recuo faixa 4</t>
        </is>
      </c>
      <c r="C30" s="17" t="n">
        <v>3.95</v>
      </c>
      <c r="D30" s="17" t="n">
        <v>0</v>
      </c>
      <c r="E30" s="17" t="n">
        <v>4.75</v>
      </c>
      <c r="F30" s="17" t="n">
        <v>4</v>
      </c>
      <c r="G30" s="8">
        <f>(E30-C30)*(F30-D30)</f>
        <v/>
      </c>
      <c r="H30" s="13" t="n">
        <v>1</v>
      </c>
      <c r="I30" s="8">
        <f>G30*H30</f>
        <v/>
      </c>
      <c r="J30" t="inlineStr">
        <is>
          <t>grama esmeralda / forracao</t>
        </is>
      </c>
    </row>
    <row r="31">
      <c r="A31" s="17" t="inlineStr">
        <is>
          <t>R_G5</t>
        </is>
      </c>
      <c r="B31" s="17" t="inlineStr">
        <is>
          <t>Grama recuo faixa 5</t>
        </is>
      </c>
      <c r="C31" s="17" t="n">
        <v>5.25</v>
      </c>
      <c r="D31" s="17" t="n">
        <v>0</v>
      </c>
      <c r="E31" s="17" t="n">
        <v>5.85</v>
      </c>
      <c r="F31" s="17" t="n">
        <v>4</v>
      </c>
      <c r="G31" s="8">
        <f>(E31-C31)*(F31-D31)</f>
        <v/>
      </c>
      <c r="H31" s="13" t="n">
        <v>1</v>
      </c>
      <c r="I31" s="8">
        <f>G31*H31</f>
        <v/>
      </c>
      <c r="J31" t="inlineStr">
        <is>
          <t>grama esmeralda</t>
        </is>
      </c>
    </row>
    <row r="32">
      <c r="A32" s="17" t="inlineStr">
        <is>
          <t>R_G6</t>
        </is>
      </c>
      <c r="B32" s="17" t="inlineStr">
        <is>
          <t>Grama recuo faixa 6</t>
        </is>
      </c>
      <c r="C32" s="17" t="n">
        <v>6.35</v>
      </c>
      <c r="D32" s="17" t="n">
        <v>0</v>
      </c>
      <c r="E32" s="17" t="n">
        <v>7</v>
      </c>
      <c r="F32" s="17" t="n">
        <v>4</v>
      </c>
      <c r="G32" s="8">
        <f>(E32-C32)*(F32-D32)</f>
        <v/>
      </c>
      <c r="H32" s="13" t="n">
        <v>1</v>
      </c>
      <c r="I32" s="8">
        <f>G32*H32</f>
        <v/>
      </c>
      <c r="J32" t="inlineStr">
        <is>
          <t>grama esmeralda</t>
        </is>
      </c>
    </row>
    <row r="33">
      <c r="A33" s="17" t="inlineStr">
        <is>
          <t>P_PISO</t>
        </is>
      </c>
      <c r="B33" s="17" t="inlineStr">
        <is>
          <t>Patio - piso de passagem</t>
        </is>
      </c>
      <c r="C33" s="17" t="n">
        <v>5.4</v>
      </c>
      <c r="D33" s="17" t="n">
        <v>9.300000000000001</v>
      </c>
      <c r="E33" s="17" t="n">
        <v>7</v>
      </c>
      <c r="F33" s="17" t="n">
        <v>10.1</v>
      </c>
      <c r="G33" s="8">
        <f>(E33-C33)*(F33-D33)</f>
        <v/>
      </c>
      <c r="H33" s="13" t="n">
        <v>0</v>
      </c>
      <c r="I33" s="8">
        <f>G33*H33</f>
        <v/>
      </c>
      <c r="J33" t="inlineStr">
        <is>
          <t>placas de concreto</t>
        </is>
      </c>
    </row>
    <row r="34">
      <c r="A34" s="17" t="inlineStr">
        <is>
          <t>P_BRITA</t>
        </is>
      </c>
      <c r="B34" s="17" t="inlineStr">
        <is>
          <t>Patio - brita e jardineira</t>
        </is>
      </c>
      <c r="C34" s="17" t="n">
        <v>5.4</v>
      </c>
      <c r="D34" s="17" t="n">
        <v>10.1</v>
      </c>
      <c r="E34" s="17" t="n">
        <v>7</v>
      </c>
      <c r="F34" s="17" t="n">
        <v>12.8</v>
      </c>
      <c r="G34" s="8">
        <f>(E34-C34)*(F34-D34)</f>
        <v/>
      </c>
      <c r="H34" s="13" t="n">
        <v>1</v>
      </c>
      <c r="I34" s="8">
        <f>G34*H34</f>
        <v/>
      </c>
      <c r="J34" t="inlineStr">
        <is>
          <t>brita sobre solo natural + forracao de sombra</t>
        </is>
      </c>
    </row>
    <row r="35">
      <c r="A35" s="17" t="inlineStr">
        <is>
          <t>J_FUNDO</t>
        </is>
      </c>
      <c r="B35" s="17" t="inlineStr">
        <is>
          <t>Jardim de fundo</t>
        </is>
      </c>
      <c r="C35" s="17" t="n">
        <v>5.2</v>
      </c>
      <c r="D35" s="17" t="n">
        <v>16.9</v>
      </c>
      <c r="E35" s="17" t="n">
        <v>7</v>
      </c>
      <c r="F35" s="17" t="n">
        <v>20</v>
      </c>
      <c r="G35" s="8">
        <f>(E35-C35)*(F35-D35)</f>
        <v/>
      </c>
      <c r="H35" s="13" t="n">
        <v>1</v>
      </c>
      <c r="I35" s="8">
        <f>G35*H35</f>
        <v/>
      </c>
      <c r="J35" t="inlineStr">
        <is>
          <t>solo natural com forracao e arvore pequena</t>
        </is>
      </c>
    </row>
    <row r="36">
      <c r="A36" s="11" t="inlineStr">
        <is>
          <t>Total</t>
        </is>
      </c>
      <c r="G36" s="8">
        <f>SUM(G22:G35)</f>
        <v/>
      </c>
      <c r="I36" s="8">
        <f>SUM(I22:I35)</f>
        <v/>
      </c>
    </row>
    <row r="37">
      <c r="A37" t="inlineStr">
        <is>
          <t>Conferencia: superficies externas = descobertas do terreo?</t>
        </is>
      </c>
      <c r="B37">
        <f>IF(ABS(G36-B7)&lt;0.001,"OK","FALHA")</f>
        <v/>
      </c>
    </row>
  </sheetData>
  <conditionalFormatting sqref="B8">
    <cfRule type="cellIs" priority="1" operator="equal" dxfId="0">
      <formula>"OK"</formula>
    </cfRule>
    <cfRule type="cellIs" priority="2" operator="equal" dxfId="0">
      <formula>"ATENDE HIPOTESE"</formula>
    </cfRule>
    <cfRule type="cellIs" priority="3" operator="notEqual" dxfId="1">
      <formula>"OK"</formula>
    </cfRule>
  </conditionalFormatting>
  <conditionalFormatting sqref="B11">
    <cfRule type="cellIs" priority="4" operator="equal" dxfId="0">
      <formula>"OK"</formula>
    </cfRule>
    <cfRule type="cellIs" priority="5" operator="equal" dxfId="0">
      <formula>"ATENDE HIPOTESE"</formula>
    </cfRule>
    <cfRule type="cellIs" priority="6" operator="notEqual" dxfId="1">
      <formula>"OK"</formula>
    </cfRule>
  </conditionalFormatting>
  <conditionalFormatting sqref="B15">
    <cfRule type="cellIs" priority="7" operator="equal" dxfId="0">
      <formula>"OK"</formula>
    </cfRule>
    <cfRule type="cellIs" priority="8" operator="equal" dxfId="0">
      <formula>"ATENDE HIPOTESE"</formula>
    </cfRule>
    <cfRule type="cellIs" priority="9" operator="notEqual" dxfId="1">
      <formula>"OK"</formula>
    </cfRule>
  </conditionalFormatting>
  <conditionalFormatting sqref="B37">
    <cfRule type="cellIs" priority="10" operator="equal" dxfId="0">
      <formula>"OK"</formula>
    </cfRule>
    <cfRule type="cellIs" priority="11" operator="equal" dxfId="0">
      <formula>"ATENDE HIPOTESE"</formula>
    </cfRule>
    <cfRule type="cellIs" priority="12" operator="not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Projeto</t>
        </is>
      </c>
      <c r="B1" t="inlineStr">
        <is>
          <t>Casa contemporanea em EPS - Cajamar/SP - ESTUDO CONCEITUAL</t>
        </is>
      </c>
    </row>
    <row r="2">
      <c r="A2" s="11" t="inlineStr">
        <is>
          <t>Hash dos dados (CSV)</t>
        </is>
      </c>
      <c r="B2" t="inlineStr">
        <is>
          <t>f48b18ad9ed1</t>
        </is>
      </c>
    </row>
    <row r="3">
      <c r="A3" s="11" t="inlineStr">
        <is>
          <t>Gerado em</t>
        </is>
      </c>
      <c r="B3" t="inlineStr">
        <is>
          <t>2026-10-26</t>
        </is>
      </c>
    </row>
    <row r="4">
      <c r="A4" s="11" t="inlineStr">
        <is>
          <t>Gerador</t>
        </is>
      </c>
      <c r="B4" t="inlineStr">
        <is>
          <t>scripts/gerar_tabela.py</t>
        </is>
      </c>
    </row>
    <row r="5">
      <c r="A5" s="11" t="inlineStr">
        <is>
          <t>Aviso</t>
        </is>
      </c>
      <c r="B5" t="inlineStr">
        <is>
          <t>Medidas aproximadas. Nao substitui projeto executivo, calculo estrutural, ART/RRT nem aprovacao.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2026-10-26T13:01:30Z</dcterms:created>
  <dcterms:modified xmlns:dcterms="http://purl.org/dc/terms/" xmlns:xsi="http://www.w3.org/2001/XMLSchema-instance" xsi:type="dcterms:W3CDTF">2026-10-26T13:01:30Z</dcterms:modified>
</cp:coreProperties>
</file>