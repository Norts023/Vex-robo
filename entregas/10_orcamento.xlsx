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" sheetId="1" state="visible" r:id="rId1"/>
    <sheet xmlns:r="http://schemas.openxmlformats.org/officeDocument/2006/relationships" name="Fora do escopo" sheetId="2" state="visible" r:id="rId2"/>
    <sheet xmlns:r="http://schemas.openxmlformats.org/officeDocument/2006/relationships" name="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;[Red]-R$ #,##0"/>
  </numFmts>
  <fonts count="4">
    <font>
      <name val="Calibri"/>
      <family val="2"/>
      <color theme="1"/>
      <sz val="11"/>
      <scheme val="minor"/>
    </font>
    <font>
      <b val="1"/>
      <sz val="12"/>
    </font>
    <font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D9D2C5"/>
      </patternFill>
    </fill>
    <fill>
      <patternFill patternType="solid">
        <fgColor rgb="00EDE7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4" fontId="2" fillId="2" borderId="0" pivotButton="0" quotePrefix="0" xfId="0"/>
    <xf numFmtId="164" fontId="0" fillId="0" borderId="0" pivotButton="0" quotePrefix="0" xfId="0"/>
    <xf numFmtId="9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2" fillId="2" borderId="1" pivotButton="0" quotePrefix="0" xfId="0"/>
    <xf numFmtId="164" fontId="0" fillId="0" borderId="1" pivotButton="0" quotePrefix="0" xfId="0"/>
    <xf numFmtId="164" fontId="2" fillId="2" borderId="1" pivotButton="0" quotePrefix="0" xfId="0"/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164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7" customWidth="1" min="3" max="3"/>
    <col width="9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ORCAMENTO PRELIMINAR PARAMETRICO - 3 CENARIOS (ESTIMATIVA, NAO E ORCAMENTO DE OBRA)</t>
        </is>
      </c>
    </row>
    <row r="2">
      <c r="A2" t="inlineStr">
        <is>
          <t>Base: CUB-SP (SindusCon-SP) ref. ago/2026 x area equivalente; percentuais por categoria e verbas = HIPOTESES do estudo. Valida-se somente com 3 orcamentos locais (Cajamar / regiao) por etapa.</t>
        </is>
      </c>
    </row>
    <row r="4">
      <c r="A4" t="inlineStr">
        <is>
          <t>Area construida (m2) - 04_tabela_areas</t>
        </is>
      </c>
      <c r="B4" s="2" t="n">
        <v>175.02</v>
      </c>
    </row>
    <row r="5">
      <c r="A5" t="inlineStr">
        <is>
          <t>Area equivalente de custo (m2) - NBR 12721, coef. hipoteticos</t>
        </is>
      </c>
      <c r="B5" s="2" t="n">
        <v>165.91</v>
      </c>
    </row>
    <row r="7">
      <c r="A7" s="3" t="inlineStr">
        <is>
          <t>Parametro</t>
        </is>
      </c>
      <c r="B7" s="3" t="inlineStr">
        <is>
          <t>Economico</t>
        </is>
      </c>
      <c r="C7" s="3" t="inlineStr">
        <is>
          <t>Intermediario</t>
        </is>
      </c>
      <c r="D7" s="3" t="inlineStr">
        <is>
          <t>Alto padrao</t>
        </is>
      </c>
    </row>
    <row r="8">
      <c r="A8" t="inlineStr">
        <is>
          <t>CUB-SP ago/2026 (R$/m2) - padrao</t>
        </is>
      </c>
      <c r="B8" s="4" t="n">
        <v>2190.76</v>
      </c>
      <c r="C8" s="4" t="n">
        <v>2686.65</v>
      </c>
      <c r="D8" s="4" t="n">
        <v>3249.37</v>
      </c>
    </row>
    <row r="9">
      <c r="A9" t="inlineStr">
        <is>
          <t>Padrao CUB adotado</t>
        </is>
      </c>
      <c r="B9" t="inlineStr">
        <is>
          <t>R1-B (baixo)</t>
        </is>
      </c>
      <c r="C9" t="inlineStr">
        <is>
          <t>R1-N (normal)</t>
        </is>
      </c>
      <c r="D9" t="inlineStr">
        <is>
          <t>R1-A (alto)</t>
        </is>
      </c>
    </row>
    <row r="10">
      <c r="A10" t="inlineStr">
        <is>
          <t>Custo base CUB = area equiv. x CUB (R$)</t>
        </is>
      </c>
      <c r="B10" s="5">
        <f>$B$5*B8</f>
        <v/>
      </c>
      <c r="C10" s="5">
        <f>$B$5*C8</f>
        <v/>
      </c>
      <c r="D10" s="5">
        <f>$B$5*D8</f>
        <v/>
      </c>
    </row>
    <row r="11">
      <c r="A11" t="inlineStr">
        <is>
          <t>Administracao / BDI (% sobre subtotal)</t>
        </is>
      </c>
      <c r="B11" s="6" t="n">
        <v>0.05</v>
      </c>
      <c r="C11" s="6" t="n">
        <v>0.12</v>
      </c>
      <c r="D11" s="6" t="n">
        <v>0.15</v>
      </c>
    </row>
    <row r="12">
      <c r="A12" t="inlineStr">
        <is>
          <t>Contingencia (% sobre subtotal + adm.)</t>
        </is>
      </c>
      <c r="B12" s="6" t="n">
        <v>0.1</v>
      </c>
      <c r="C12" s="6" t="n">
        <v>0.1</v>
      </c>
      <c r="D12" s="6" t="n">
        <v>0.1</v>
      </c>
    </row>
    <row r="14" ht="42" customHeight="1">
      <c r="A14" s="7" t="inlineStr">
        <is>
          <t>#</t>
        </is>
      </c>
      <c r="B14" s="7" t="inlineStr">
        <is>
          <t>Categoria</t>
        </is>
      </c>
      <c r="C14" s="7" t="inlineStr">
        <is>
          <t>Base</t>
        </is>
      </c>
      <c r="D14" s="7" t="inlineStr">
        <is>
          <t>% do CUB (se base=cub)</t>
        </is>
      </c>
      <c r="E14" s="7" t="inlineStr">
        <is>
          <t>% material (hipotese)</t>
        </is>
      </c>
      <c r="F14" s="7" t="inlineStr">
        <is>
          <t>Economico - materiais</t>
        </is>
      </c>
      <c r="G14" s="7" t="inlineStr">
        <is>
          <t>Economico - servicos</t>
        </is>
      </c>
      <c r="H14" s="7" t="inlineStr">
        <is>
          <t>Economico - total</t>
        </is>
      </c>
      <c r="I14" s="7" t="inlineStr">
        <is>
          <t>Intermediario - materiais</t>
        </is>
      </c>
      <c r="J14" s="7" t="inlineStr">
        <is>
          <t>Intermediario - servicos</t>
        </is>
      </c>
      <c r="K14" s="7" t="inlineStr">
        <is>
          <t>Intermediario - total</t>
        </is>
      </c>
      <c r="L14" s="7" t="inlineStr">
        <is>
          <t>Alto padrao - materiais</t>
        </is>
      </c>
      <c r="M14" s="7" t="inlineStr">
        <is>
          <t>Alto padrao - servicos</t>
        </is>
      </c>
      <c r="N14" s="7" t="inlineStr">
        <is>
          <t>Alto padrao - total</t>
        </is>
      </c>
      <c r="O14" s="7" t="inlineStr">
        <is>
          <t>Observacao</t>
        </is>
      </c>
    </row>
    <row r="15">
      <c r="A15" s="8" t="n">
        <v>1</v>
      </c>
      <c r="B15" s="8" t="inlineStr">
        <is>
          <t>Projetos (arq., estrutural, instalacoes), aprovacao, ART/RRT e taxas</t>
        </is>
      </c>
      <c r="C15" s="8" t="inlineStr">
        <is>
          <t>verba</t>
        </is>
      </c>
      <c r="D15" s="8" t="n"/>
      <c r="E15" s="9" t="n">
        <v>0</v>
      </c>
      <c r="F15" s="10">
        <f>H15*$E15</f>
        <v/>
      </c>
      <c r="G15" s="10">
        <f>H15-F15</f>
        <v/>
      </c>
      <c r="H15" s="11" t="n">
        <v>18000</v>
      </c>
      <c r="I15" s="10">
        <f>K15*$E15</f>
        <v/>
      </c>
      <c r="J15" s="10">
        <f>K15-I15</f>
        <v/>
      </c>
      <c r="K15" s="11" t="n">
        <v>30000</v>
      </c>
      <c r="L15" s="10">
        <f>N15*$E15</f>
        <v/>
      </c>
      <c r="M15" s="10">
        <f>N15-L15</f>
        <v/>
      </c>
      <c r="N15" s="11" t="n">
        <v>50000</v>
      </c>
      <c r="O15" s="8" t="inlineStr">
        <is>
          <t>Fora do CUB. Sondagem e topografia estao na cat. 2</t>
        </is>
      </c>
    </row>
    <row r="16">
      <c r="A16" s="8" t="n">
        <v>2</v>
      </c>
      <c r="B16" s="8" t="inlineStr">
        <is>
          <t>Servicos preliminares: sondagem, topografia, canteiro, ligacoes provisorias</t>
        </is>
      </c>
      <c r="C16" s="8" t="inlineStr">
        <is>
          <t>cub</t>
        </is>
      </c>
      <c r="D16" s="9" t="n">
        <v>0.02</v>
      </c>
      <c r="E16" s="9" t="n">
        <v>0.35</v>
      </c>
      <c r="F16" s="10">
        <f>H16*$E16</f>
        <v/>
      </c>
      <c r="G16" s="10">
        <f>H16-F16</f>
        <v/>
      </c>
      <c r="H16" s="10">
        <f>$D16*B$10</f>
        <v/>
      </c>
      <c r="I16" s="10">
        <f>K16*$E16</f>
        <v/>
      </c>
      <c r="J16" s="10">
        <f>K16-I16</f>
        <v/>
      </c>
      <c r="K16" s="10">
        <f>$D16*C$10</f>
        <v/>
      </c>
      <c r="L16" s="10">
        <f>N16*$E16</f>
        <v/>
      </c>
      <c r="M16" s="10">
        <f>N16-L16</f>
        <v/>
      </c>
      <c r="N16" s="10">
        <f>$D16*D$10</f>
        <v/>
      </c>
      <c r="O16" s="8" t="inlineStr"/>
    </row>
    <row r="17">
      <c r="A17" s="8" t="n">
        <v>3</v>
      </c>
      <c r="B17" s="8" t="inlineStr">
        <is>
          <t>Movimento de terra, locacao e regularizacao do terreno</t>
        </is>
      </c>
      <c r="C17" s="8" t="inlineStr">
        <is>
          <t>cub</t>
        </is>
      </c>
      <c r="D17" s="9" t="n">
        <v>0.01</v>
      </c>
      <c r="E17" s="9" t="n">
        <v>0.1</v>
      </c>
      <c r="F17" s="10">
        <f>H17*$E17</f>
        <v/>
      </c>
      <c r="G17" s="10">
        <f>H17-F17</f>
        <v/>
      </c>
      <c r="H17" s="10">
        <f>$D17*B$10</f>
        <v/>
      </c>
      <c r="I17" s="10">
        <f>K17*$E17</f>
        <v/>
      </c>
      <c r="J17" s="10">
        <f>K17-I17</f>
        <v/>
      </c>
      <c r="K17" s="10">
        <f>$D17*C$10</f>
        <v/>
      </c>
      <c r="L17" s="10">
        <f>N17*$E17</f>
        <v/>
      </c>
      <c r="M17" s="10">
        <f>N17-L17</f>
        <v/>
      </c>
      <c r="N17" s="10">
        <f>$D17*D$10</f>
        <v/>
      </c>
      <c r="O17" s="8" t="inlineStr">
        <is>
          <t>Depende da topografia (pendencia)</t>
        </is>
      </c>
    </row>
    <row r="18">
      <c r="A18" s="8" t="n">
        <v>4</v>
      </c>
      <c r="B18" s="8" t="inlineStr">
        <is>
          <t>Fundacoes (sapatas/estacas + baldrame)</t>
        </is>
      </c>
      <c r="C18" s="8" t="inlineStr">
        <is>
          <t>verba</t>
        </is>
      </c>
      <c r="D18" s="8" t="n"/>
      <c r="E18" s="9" t="n">
        <v>0.55</v>
      </c>
      <c r="F18" s="10">
        <f>H18*$E18</f>
        <v/>
      </c>
      <c r="G18" s="10">
        <f>H18-F18</f>
        <v/>
      </c>
      <c r="H18" s="11" t="n">
        <v>30000</v>
      </c>
      <c r="I18" s="10">
        <f>K18*$E18</f>
        <v/>
      </c>
      <c r="J18" s="10">
        <f>K18-I18</f>
        <v/>
      </c>
      <c r="K18" s="11" t="n">
        <v>38000</v>
      </c>
      <c r="L18" s="10">
        <f>N18*$E18</f>
        <v/>
      </c>
      <c r="M18" s="10">
        <f>N18-L18</f>
        <v/>
      </c>
      <c r="N18" s="11" t="n">
        <v>45000</v>
      </c>
      <c r="O18" s="8" t="inlineStr">
        <is>
          <t>Fora do CUB. Valor DEPENDE DA SONDAGEM - pode variar muito</t>
        </is>
      </c>
    </row>
    <row r="19">
      <c r="A19" s="8" t="n">
        <v>5</v>
      </c>
      <c r="B19" s="8" t="inlineStr">
        <is>
          <t>Estrutura complementar (pilares, vigas, lajes; vigas de 7 m sobre a garagem)</t>
        </is>
      </c>
      <c r="C19" s="8" t="inlineStr">
        <is>
          <t>cub</t>
        </is>
      </c>
      <c r="D19" s="9" t="n">
        <v>0.18</v>
      </c>
      <c r="E19" s="9" t="n">
        <v>0.6</v>
      </c>
      <c r="F19" s="10">
        <f>H19*$E19</f>
        <v/>
      </c>
      <c r="G19" s="10">
        <f>H19-F19</f>
        <v/>
      </c>
      <c r="H19" s="10">
        <f>$D19*B$10</f>
        <v/>
      </c>
      <c r="I19" s="10">
        <f>K19*$E19</f>
        <v/>
      </c>
      <c r="J19" s="10">
        <f>K19-I19</f>
        <v/>
      </c>
      <c r="K19" s="10">
        <f>$D19*C$10</f>
        <v/>
      </c>
      <c r="L19" s="10">
        <f>N19*$E19</f>
        <v/>
      </c>
      <c r="M19" s="10">
        <f>N19-L19</f>
        <v/>
      </c>
      <c r="N19" s="10">
        <f>$D19*D$10</f>
        <v/>
      </c>
      <c r="O19" s="8" t="inlineStr">
        <is>
          <t>Inclui reforco da laje da sacada-jardim</t>
        </is>
      </c>
    </row>
    <row r="20">
      <c r="A20" s="8" t="n">
        <v>6</v>
      </c>
      <c r="B20" s="8" t="inlineStr">
        <is>
          <t>Paineis de EPS - fornecimento e montagem (vedacoes)</t>
        </is>
      </c>
      <c r="C20" s="8" t="inlineStr">
        <is>
          <t>cub</t>
        </is>
      </c>
      <c r="D20" s="9" t="n">
        <v>0.09</v>
      </c>
      <c r="E20" s="9" t="n">
        <v>0.65</v>
      </c>
      <c r="F20" s="10">
        <f>H20*$E20</f>
        <v/>
      </c>
      <c r="G20" s="10">
        <f>H20-F20</f>
        <v/>
      </c>
      <c r="H20" s="10">
        <f>$D20*B$10</f>
        <v/>
      </c>
      <c r="I20" s="10">
        <f>K20*$E20</f>
        <v/>
      </c>
      <c r="J20" s="10">
        <f>K20-I20</f>
        <v/>
      </c>
      <c r="K20" s="10">
        <f>$D20*C$10</f>
        <v/>
      </c>
      <c r="L20" s="10">
        <f>N20*$E20</f>
        <v/>
      </c>
      <c r="M20" s="10">
        <f>N20-L20</f>
        <v/>
      </c>
      <c r="N20" s="10">
        <f>$D20*D$10</f>
        <v/>
      </c>
      <c r="O20" s="8" t="inlineStr">
        <is>
          <t>Substitui alvenaria</t>
        </is>
      </c>
    </row>
    <row r="21">
      <c r="A21" s="8" t="n">
        <v>7</v>
      </c>
      <c r="B21" s="8" t="inlineStr">
        <is>
          <t>Revestimento dos paineis (argamassa/microconcreto projetado 2 faces)</t>
        </is>
      </c>
      <c r="C21" s="8" t="inlineStr">
        <is>
          <t>cub</t>
        </is>
      </c>
      <c r="D21" s="9" t="n">
        <v>0.06</v>
      </c>
      <c r="E21" s="9" t="n">
        <v>0.45</v>
      </c>
      <c r="F21" s="10">
        <f>H21*$E21</f>
        <v/>
      </c>
      <c r="G21" s="10">
        <f>H21-F21</f>
        <v/>
      </c>
      <c r="H21" s="10">
        <f>$D21*B$10</f>
        <v/>
      </c>
      <c r="I21" s="10">
        <f>K21*$E21</f>
        <v/>
      </c>
      <c r="J21" s="10">
        <f>K21-I21</f>
        <v/>
      </c>
      <c r="K21" s="10">
        <f>$D21*C$10</f>
        <v/>
      </c>
      <c r="L21" s="10">
        <f>N21*$E21</f>
        <v/>
      </c>
      <c r="M21" s="10">
        <f>N21-L21</f>
        <v/>
      </c>
      <c r="N21" s="10">
        <f>$D21*D$10</f>
        <v/>
      </c>
      <c r="O21" s="8" t="inlineStr"/>
    </row>
    <row r="22">
      <c r="A22" s="8" t="n">
        <v>8</v>
      </c>
      <c r="B22" s="8" t="inlineStr">
        <is>
          <t>Cobertura: laje, platibanda, telhado embutido termoacustico, calhas, claraboia</t>
        </is>
      </c>
      <c r="C22" s="8" t="inlineStr">
        <is>
          <t>cub</t>
        </is>
      </c>
      <c r="D22" s="9" t="n">
        <v>0.05</v>
      </c>
      <c r="E22" s="9" t="n">
        <v>0.6</v>
      </c>
      <c r="F22" s="10">
        <f>H22*$E22</f>
        <v/>
      </c>
      <c r="G22" s="10">
        <f>H22-F22</f>
        <v/>
      </c>
      <c r="H22" s="10">
        <f>$D22*B$10</f>
        <v/>
      </c>
      <c r="I22" s="10">
        <f>K22*$E22</f>
        <v/>
      </c>
      <c r="J22" s="10">
        <f>K22-I22</f>
        <v/>
      </c>
      <c r="K22" s="10">
        <f>$D22*C$10</f>
        <v/>
      </c>
      <c r="L22" s="10">
        <f>N22*$E22</f>
        <v/>
      </c>
      <c r="M22" s="10">
        <f>N22-L22</f>
        <v/>
      </c>
      <c r="N22" s="10">
        <f>$D22*D$10</f>
        <v/>
      </c>
      <c r="O22" s="8" t="inlineStr"/>
    </row>
    <row r="23">
      <c r="A23" s="8" t="n">
        <v>9</v>
      </c>
      <c r="B23" s="8" t="inlineStr">
        <is>
          <t>Impermeabilizacao (baldrame, areas molhadas, sacada-jardim, lajes, jardineiras)</t>
        </is>
      </c>
      <c r="C23" s="8" t="inlineStr">
        <is>
          <t>cub</t>
        </is>
      </c>
      <c r="D23" s="9" t="n">
        <v>0.04</v>
      </c>
      <c r="E23" s="9" t="n">
        <v>0.55</v>
      </c>
      <c r="F23" s="10">
        <f>H23*$E23</f>
        <v/>
      </c>
      <c r="G23" s="10">
        <f>H23-F23</f>
        <v/>
      </c>
      <c r="H23" s="10">
        <f>$D23*B$10</f>
        <v/>
      </c>
      <c r="I23" s="10">
        <f>K23*$E23</f>
        <v/>
      </c>
      <c r="J23" s="10">
        <f>K23-I23</f>
        <v/>
      </c>
      <c r="K23" s="10">
        <f>$D23*C$10</f>
        <v/>
      </c>
      <c r="L23" s="10">
        <f>N23*$E23</f>
        <v/>
      </c>
      <c r="M23" s="10">
        <f>N23-L23</f>
        <v/>
      </c>
      <c r="N23" s="10">
        <f>$D23*D$10</f>
        <v/>
      </c>
      <c r="O23" s="8" t="inlineStr"/>
    </row>
    <row r="24">
      <c r="A24" s="8" t="n">
        <v>10</v>
      </c>
      <c r="B24" s="8" t="inlineStr">
        <is>
          <t>Instalacoes hidrossanitarias, aguas pluviais e gas</t>
        </is>
      </c>
      <c r="C24" s="8" t="inlineStr">
        <is>
          <t>cub</t>
        </is>
      </c>
      <c r="D24" s="9" t="n">
        <v>0.08</v>
      </c>
      <c r="E24" s="9" t="n">
        <v>0.55</v>
      </c>
      <c r="F24" s="10">
        <f>H24*$E24</f>
        <v/>
      </c>
      <c r="G24" s="10">
        <f>H24-F24</f>
        <v/>
      </c>
      <c r="H24" s="10">
        <f>$D24*B$10</f>
        <v/>
      </c>
      <c r="I24" s="10">
        <f>K24*$E24</f>
        <v/>
      </c>
      <c r="J24" s="10">
        <f>K24-I24</f>
        <v/>
      </c>
      <c r="K24" s="10">
        <f>$D24*C$10</f>
        <v/>
      </c>
      <c r="L24" s="10">
        <f>N24*$E24</f>
        <v/>
      </c>
      <c r="M24" s="10">
        <f>N24-L24</f>
        <v/>
      </c>
      <c r="N24" s="10">
        <f>$D24*D$10</f>
        <v/>
      </c>
      <c r="O24" s="8" t="inlineStr"/>
    </row>
    <row r="25">
      <c r="A25" s="8" t="n">
        <v>11</v>
      </c>
      <c r="B25" s="8" t="inlineStr">
        <is>
          <t>Instalacoes eletricas, dados/telecom, quadros e circuitos</t>
        </is>
      </c>
      <c r="C25" s="8" t="inlineStr">
        <is>
          <t>cub</t>
        </is>
      </c>
      <c r="D25" s="9" t="n">
        <v>0.07000000000000001</v>
      </c>
      <c r="E25" s="9" t="n">
        <v>0.55</v>
      </c>
      <c r="F25" s="10">
        <f>H25*$E25</f>
        <v/>
      </c>
      <c r="G25" s="10">
        <f>H25-F25</f>
        <v/>
      </c>
      <c r="H25" s="10">
        <f>$D25*B$10</f>
        <v/>
      </c>
      <c r="I25" s="10">
        <f>K25*$E25</f>
        <v/>
      </c>
      <c r="J25" s="10">
        <f>K25-I25</f>
        <v/>
      </c>
      <c r="K25" s="10">
        <f>$D25*C$10</f>
        <v/>
      </c>
      <c r="L25" s="10">
        <f>N25*$E25</f>
        <v/>
      </c>
      <c r="M25" s="10">
        <f>N25-L25</f>
        <v/>
      </c>
      <c r="N25" s="10">
        <f>$D25*D$10</f>
        <v/>
      </c>
      <c r="O25" s="8" t="inlineStr">
        <is>
          <t>Infraestrutura e acabamentos basicos; luminarias decorativas na cat. 21</t>
        </is>
      </c>
    </row>
    <row r="26">
      <c r="A26" s="8" t="n">
        <v>12</v>
      </c>
      <c r="B26" s="8" t="inlineStr">
        <is>
          <t>Esquadrias de aluminio preto fosco e vidros (guarda-corpos na cat. 19)</t>
        </is>
      </c>
      <c r="C26" s="8" t="inlineStr">
        <is>
          <t>cub</t>
        </is>
      </c>
      <c r="D26" s="9" t="n">
        <v>0.09</v>
      </c>
      <c r="E26" s="9" t="n">
        <v>0.8</v>
      </c>
      <c r="F26" s="10">
        <f>H26*$E26</f>
        <v/>
      </c>
      <c r="G26" s="10">
        <f>H26-F26</f>
        <v/>
      </c>
      <c r="H26" s="10">
        <f>$D26*B$10</f>
        <v/>
      </c>
      <c r="I26" s="10">
        <f>K26*$E26</f>
        <v/>
      </c>
      <c r="J26" s="10">
        <f>K26-I26</f>
        <v/>
      </c>
      <c r="K26" s="10">
        <f>$D26*C$10</f>
        <v/>
      </c>
      <c r="L26" s="10">
        <f>N26*$E26</f>
        <v/>
      </c>
      <c r="M26" s="10">
        <f>N26-L26</f>
        <v/>
      </c>
      <c r="N26" s="10">
        <f>$D26*D$10</f>
        <v/>
      </c>
      <c r="O26" s="8" t="inlineStr"/>
    </row>
    <row r="27">
      <c r="A27" s="8" t="n">
        <v>13</v>
      </c>
      <c r="B27" s="8" t="inlineStr">
        <is>
          <t>Portas internas, porta pivotante de madeira e ferragens</t>
        </is>
      </c>
      <c r="C27" s="8" t="inlineStr">
        <is>
          <t>cub</t>
        </is>
      </c>
      <c r="D27" s="9" t="n">
        <v>0.03</v>
      </c>
      <c r="E27" s="9" t="n">
        <v>0.75</v>
      </c>
      <c r="F27" s="10">
        <f>H27*$E27</f>
        <v/>
      </c>
      <c r="G27" s="10">
        <f>H27-F27</f>
        <v/>
      </c>
      <c r="H27" s="10">
        <f>$D27*B$10</f>
        <v/>
      </c>
      <c r="I27" s="10">
        <f>K27*$E27</f>
        <v/>
      </c>
      <c r="J27" s="10">
        <f>K27-I27</f>
        <v/>
      </c>
      <c r="K27" s="10">
        <f>$D27*C$10</f>
        <v/>
      </c>
      <c r="L27" s="10">
        <f>N27*$E27</f>
        <v/>
      </c>
      <c r="M27" s="10">
        <f>N27-L27</f>
        <v/>
      </c>
      <c r="N27" s="10">
        <f>$D27*D$10</f>
        <v/>
      </c>
      <c r="O27" s="8" t="inlineStr"/>
    </row>
    <row r="28">
      <c r="A28" s="8" t="n">
        <v>14</v>
      </c>
      <c r="B28" s="8" t="inlineStr">
        <is>
          <t>Contrapiso e revestimentos de piso (porcelanatos, amadeirado, externo, garagem)</t>
        </is>
      </c>
      <c r="C28" s="8" t="inlineStr">
        <is>
          <t>cub</t>
        </is>
      </c>
      <c r="D28" s="9" t="n">
        <v>0.08</v>
      </c>
      <c r="E28" s="9" t="n">
        <v>0.6</v>
      </c>
      <c r="F28" s="10">
        <f>H28*$E28</f>
        <v/>
      </c>
      <c r="G28" s="10">
        <f>H28-F28</f>
        <v/>
      </c>
      <c r="H28" s="10">
        <f>$D28*B$10</f>
        <v/>
      </c>
      <c r="I28" s="10">
        <f>K28*$E28</f>
        <v/>
      </c>
      <c r="J28" s="10">
        <f>K28-I28</f>
        <v/>
      </c>
      <c r="K28" s="10">
        <f>$D28*C$10</f>
        <v/>
      </c>
      <c r="L28" s="10">
        <f>N28*$E28</f>
        <v/>
      </c>
      <c r="M28" s="10">
        <f>N28-L28</f>
        <v/>
      </c>
      <c r="N28" s="10">
        <f>$D28*D$10</f>
        <v/>
      </c>
      <c r="O28" s="8" t="inlineStr"/>
    </row>
    <row r="29">
      <c r="A29" s="8" t="n">
        <v>15</v>
      </c>
      <c r="B29" s="8" t="inlineStr">
        <is>
          <t>Revestimentos de parede (areas molhadas, lavabo, parede de destaque)</t>
        </is>
      </c>
      <c r="C29" s="8" t="inlineStr">
        <is>
          <t>cub</t>
        </is>
      </c>
      <c r="D29" s="9" t="n">
        <v>0.03</v>
      </c>
      <c r="E29" s="9" t="n">
        <v>0.6</v>
      </c>
      <c r="F29" s="10">
        <f>H29*$E29</f>
        <v/>
      </c>
      <c r="G29" s="10">
        <f>H29-F29</f>
        <v/>
      </c>
      <c r="H29" s="10">
        <f>$D29*B$10</f>
        <v/>
      </c>
      <c r="I29" s="10">
        <f>K29*$E29</f>
        <v/>
      </c>
      <c r="J29" s="10">
        <f>K29-I29</f>
        <v/>
      </c>
      <c r="K29" s="10">
        <f>$D29*C$10</f>
        <v/>
      </c>
      <c r="L29" s="10">
        <f>N29*$E29</f>
        <v/>
      </c>
      <c r="M29" s="10">
        <f>N29-L29</f>
        <v/>
      </c>
      <c r="N29" s="10">
        <f>$D29*D$10</f>
        <v/>
      </c>
      <c r="O29" s="8" t="inlineStr"/>
    </row>
    <row r="30">
      <c r="A30" s="8" t="n">
        <v>16</v>
      </c>
      <c r="B30" s="8" t="inlineStr">
        <is>
          <t>Forros de gesso, sancas e tabicas</t>
        </is>
      </c>
      <c r="C30" s="8" t="inlineStr">
        <is>
          <t>cub</t>
        </is>
      </c>
      <c r="D30" s="9" t="n">
        <v>0.04</v>
      </c>
      <c r="E30" s="9" t="n">
        <v>0.45</v>
      </c>
      <c r="F30" s="10">
        <f>H30*$E30</f>
        <v/>
      </c>
      <c r="G30" s="10">
        <f>H30-F30</f>
        <v/>
      </c>
      <c r="H30" s="10">
        <f>$D30*B$10</f>
        <v/>
      </c>
      <c r="I30" s="10">
        <f>K30*$E30</f>
        <v/>
      </c>
      <c r="J30" s="10">
        <f>K30-I30</f>
        <v/>
      </c>
      <c r="K30" s="10">
        <f>$D30*C$10</f>
        <v/>
      </c>
      <c r="L30" s="10">
        <f>N30*$E30</f>
        <v/>
      </c>
      <c r="M30" s="10">
        <f>N30-L30</f>
        <v/>
      </c>
      <c r="N30" s="10">
        <f>$D30*D$10</f>
        <v/>
      </c>
      <c r="O30" s="8" t="inlineStr"/>
    </row>
    <row r="31">
      <c r="A31" s="8" t="n">
        <v>17</v>
      </c>
      <c r="B31" s="8" t="inlineStr">
        <is>
          <t>Pintura e texturas (interna e fachada)</t>
        </is>
      </c>
      <c r="C31" s="8" t="inlineStr">
        <is>
          <t>cub</t>
        </is>
      </c>
      <c r="D31" s="9" t="n">
        <v>0.05</v>
      </c>
      <c r="E31" s="9" t="n">
        <v>0.35</v>
      </c>
      <c r="F31" s="10">
        <f>H31*$E31</f>
        <v/>
      </c>
      <c r="G31" s="10">
        <f>H31-F31</f>
        <v/>
      </c>
      <c r="H31" s="10">
        <f>$D31*B$10</f>
        <v/>
      </c>
      <c r="I31" s="10">
        <f>K31*$E31</f>
        <v/>
      </c>
      <c r="J31" s="10">
        <f>K31-I31</f>
        <v/>
      </c>
      <c r="K31" s="10">
        <f>$D31*C$10</f>
        <v/>
      </c>
      <c r="L31" s="10">
        <f>N31*$E31</f>
        <v/>
      </c>
      <c r="M31" s="10">
        <f>N31-L31</f>
        <v/>
      </c>
      <c r="N31" s="10">
        <f>$D31*D$10</f>
        <v/>
      </c>
      <c r="O31" s="8" t="inlineStr"/>
    </row>
    <row r="32">
      <c r="A32" s="8" t="n">
        <v>18</v>
      </c>
      <c r="B32" s="8" t="inlineStr">
        <is>
          <t>Loucas, metais e bancadas de pedra (granito/quartzo)</t>
        </is>
      </c>
      <c r="C32" s="8" t="inlineStr">
        <is>
          <t>cub</t>
        </is>
      </c>
      <c r="D32" s="9" t="n">
        <v>0.05</v>
      </c>
      <c r="E32" s="9" t="n">
        <v>0.8</v>
      </c>
      <c r="F32" s="10">
        <f>H32*$E32</f>
        <v/>
      </c>
      <c r="G32" s="10">
        <f>H32-F32</f>
        <v/>
      </c>
      <c r="H32" s="10">
        <f>$D32*B$10</f>
        <v/>
      </c>
      <c r="I32" s="10">
        <f>K32*$E32</f>
        <v/>
      </c>
      <c r="J32" s="10">
        <f>K32-I32</f>
        <v/>
      </c>
      <c r="K32" s="10">
        <f>$D32*C$10</f>
        <v/>
      </c>
      <c r="L32" s="10">
        <f>N32*$E32</f>
        <v/>
      </c>
      <c r="M32" s="10">
        <f>N32-L32</f>
        <v/>
      </c>
      <c r="N32" s="10">
        <f>$D32*D$10</f>
        <v/>
      </c>
      <c r="O32" s="8" t="inlineStr"/>
    </row>
    <row r="33">
      <c r="A33" s="8" t="n">
        <v>19</v>
      </c>
      <c r="B33" s="8" t="inlineStr">
        <is>
          <t>Escada (estrutura leve + degraus amadeirados), guarda-corpos e corrimaos</t>
        </is>
      </c>
      <c r="C33" s="8" t="inlineStr">
        <is>
          <t>cub</t>
        </is>
      </c>
      <c r="D33" s="9" t="n">
        <v>0.03</v>
      </c>
      <c r="E33" s="9" t="n">
        <v>0.7</v>
      </c>
      <c r="F33" s="10">
        <f>H33*$E33</f>
        <v/>
      </c>
      <c r="G33" s="10">
        <f>H33-F33</f>
        <v/>
      </c>
      <c r="H33" s="10">
        <f>$D33*B$10</f>
        <v/>
      </c>
      <c r="I33" s="10">
        <f>K33*$E33</f>
        <v/>
      </c>
      <c r="J33" s="10">
        <f>K33-I33</f>
        <v/>
      </c>
      <c r="K33" s="10">
        <f>$D33*C$10</f>
        <v/>
      </c>
      <c r="L33" s="10">
        <f>N33*$E33</f>
        <v/>
      </c>
      <c r="M33" s="10">
        <f>N33-L33</f>
        <v/>
      </c>
      <c r="N33" s="10">
        <f>$D33*D$10</f>
        <v/>
      </c>
      <c r="O33" s="8" t="inlineStr"/>
    </row>
    <row r="34">
      <c r="A34" s="8" t="n">
        <v>20</v>
      </c>
      <c r="B34" s="8" t="inlineStr">
        <is>
          <t>Area gourmet: churrasqueira embutida, exaustao, bancada e revestimentos</t>
        </is>
      </c>
      <c r="C34" s="8" t="inlineStr">
        <is>
          <t>verba</t>
        </is>
      </c>
      <c r="D34" s="8" t="n"/>
      <c r="E34" s="9" t="n">
        <v>0.65</v>
      </c>
      <c r="F34" s="10">
        <f>H34*$E34</f>
        <v/>
      </c>
      <c r="G34" s="10">
        <f>H34-F34</f>
        <v/>
      </c>
      <c r="H34" s="11" t="n">
        <v>8000</v>
      </c>
      <c r="I34" s="10">
        <f>K34*$E34</f>
        <v/>
      </c>
      <c r="J34" s="10">
        <f>K34-I34</f>
        <v/>
      </c>
      <c r="K34" s="11" t="n">
        <v>15000</v>
      </c>
      <c r="L34" s="10">
        <f>N34*$E34</f>
        <v/>
      </c>
      <c r="M34" s="10">
        <f>N34-L34</f>
        <v/>
      </c>
      <c r="N34" s="11" t="n">
        <v>28000</v>
      </c>
      <c r="O34" s="8" t="inlineStr">
        <is>
          <t>Fora do CUB (equipamentos)</t>
        </is>
      </c>
    </row>
    <row r="35">
      <c r="A35" s="8" t="n">
        <v>21</v>
      </c>
      <c r="B35" s="8" t="inlineStr">
        <is>
          <t>Iluminacao: luminarias, spots, perfis LED, fachada, jardim e sacada</t>
        </is>
      </c>
      <c r="C35" s="8" t="inlineStr">
        <is>
          <t>verba</t>
        </is>
      </c>
      <c r="D35" s="8" t="n"/>
      <c r="E35" s="9" t="n">
        <v>0.8</v>
      </c>
      <c r="F35" s="10">
        <f>H35*$E35</f>
        <v/>
      </c>
      <c r="G35" s="10">
        <f>H35-F35</f>
        <v/>
      </c>
      <c r="H35" s="11" t="n">
        <v>6000</v>
      </c>
      <c r="I35" s="10">
        <f>K35*$E35</f>
        <v/>
      </c>
      <c r="J35" s="10">
        <f>K35-I35</f>
        <v/>
      </c>
      <c r="K35" s="11" t="n">
        <v>14000</v>
      </c>
      <c r="L35" s="10">
        <f>N35*$E35</f>
        <v/>
      </c>
      <c r="M35" s="10">
        <f>N35-L35</f>
        <v/>
      </c>
      <c r="N35" s="11" t="n">
        <v>25000</v>
      </c>
      <c r="O35" s="8" t="inlineStr">
        <is>
          <t>Fora do CUB (luminarias decorativas)</t>
        </is>
      </c>
    </row>
    <row r="36">
      <c r="A36" s="8" t="n">
        <v>22</v>
      </c>
      <c r="B36" s="8" t="inlineStr">
        <is>
          <t>Paisagismo, jardineiras (vegetacao e substrato) e limpeza final</t>
        </is>
      </c>
      <c r="C36" s="8" t="inlineStr">
        <is>
          <t>verba</t>
        </is>
      </c>
      <c r="D36" s="8" t="n"/>
      <c r="E36" s="9" t="n">
        <v>0.55</v>
      </c>
      <c r="F36" s="10">
        <f>H36*$E36</f>
        <v/>
      </c>
      <c r="G36" s="10">
        <f>H36-F36</f>
        <v/>
      </c>
      <c r="H36" s="11" t="n">
        <v>5000</v>
      </c>
      <c r="I36" s="10">
        <f>K36*$E36</f>
        <v/>
      </c>
      <c r="J36" s="10">
        <f>K36-I36</f>
        <v/>
      </c>
      <c r="K36" s="11" t="n">
        <v>10000</v>
      </c>
      <c r="L36" s="10">
        <f>N36*$E36</f>
        <v/>
      </c>
      <c r="M36" s="10">
        <f>N36-L36</f>
        <v/>
      </c>
      <c r="N36" s="11" t="n">
        <v>18000</v>
      </c>
      <c r="O36" s="8" t="inlineStr">
        <is>
          <t>Fora do CUB (ajardinamento)</t>
        </is>
      </c>
    </row>
    <row r="37">
      <c r="A37" s="12" t="n"/>
      <c r="B37" s="13" t="inlineStr">
        <is>
          <t>Subtotal das 22 categorias</t>
        </is>
      </c>
      <c r="C37" s="12" t="n"/>
      <c r="D37" s="12" t="n"/>
      <c r="E37" s="12" t="n"/>
      <c r="F37" s="14">
        <f>SUM(F15:F36)</f>
        <v/>
      </c>
      <c r="G37" s="14">
        <f>SUM(G15:G36)</f>
        <v/>
      </c>
      <c r="H37" s="14">
        <f>SUM(H15:H36)</f>
        <v/>
      </c>
      <c r="I37" s="14">
        <f>SUM(I15:I36)</f>
        <v/>
      </c>
      <c r="J37" s="14">
        <f>SUM(J15:J36)</f>
        <v/>
      </c>
      <c r="K37" s="14">
        <f>SUM(K15:K36)</f>
        <v/>
      </c>
      <c r="L37" s="14">
        <f>SUM(L15:L36)</f>
        <v/>
      </c>
      <c r="M37" s="14">
        <f>SUM(M15:M36)</f>
        <v/>
      </c>
      <c r="N37" s="14">
        <f>SUM(N15:N36)</f>
        <v/>
      </c>
      <c r="O37" s="12" t="n"/>
    </row>
    <row r="38">
      <c r="A38" s="12" t="n"/>
      <c r="B38" s="13" t="inlineStr">
        <is>
          <t>Administracao / BDI</t>
        </is>
      </c>
      <c r="C38" s="12" t="n"/>
      <c r="D38" s="12" t="n"/>
      <c r="E38" s="12" t="n"/>
      <c r="F38" s="12" t="n"/>
      <c r="G38" s="12" t="n"/>
      <c r="H38" s="14">
        <f>H37*B11</f>
        <v/>
      </c>
      <c r="I38" s="12" t="n"/>
      <c r="J38" s="12" t="n"/>
      <c r="K38" s="14">
        <f>K37*C11</f>
        <v/>
      </c>
      <c r="L38" s="12" t="n"/>
      <c r="M38" s="12" t="n"/>
      <c r="N38" s="14">
        <f>N37*D11</f>
        <v/>
      </c>
      <c r="O38" s="12" t="n"/>
    </row>
    <row r="39">
      <c r="A39" s="12" t="n"/>
      <c r="B39" s="13" t="inlineStr">
        <is>
          <t>Contingencia</t>
        </is>
      </c>
      <c r="C39" s="12" t="n"/>
      <c r="D39" s="12" t="n"/>
      <c r="E39" s="12" t="n"/>
      <c r="F39" s="12" t="n"/>
      <c r="G39" s="12" t="n"/>
      <c r="H39" s="14">
        <f>(H37+H38)*B12</f>
        <v/>
      </c>
      <c r="I39" s="12" t="n"/>
      <c r="J39" s="12" t="n"/>
      <c r="K39" s="14">
        <f>(K37+K38)*C12</f>
        <v/>
      </c>
      <c r="L39" s="12" t="n"/>
      <c r="M39" s="12" t="n"/>
      <c r="N39" s="14">
        <f>(N37+N38)*D12</f>
        <v/>
      </c>
      <c r="O39" s="12" t="n"/>
    </row>
    <row r="40">
      <c r="A40" s="12" t="n"/>
      <c r="B40" s="13" t="inlineStr">
        <is>
          <t>TOTAL ESTIMADO</t>
        </is>
      </c>
      <c r="C40" s="12" t="n"/>
      <c r="D40" s="12" t="n"/>
      <c r="E40" s="12" t="n"/>
      <c r="F40" s="12" t="n"/>
      <c r="G40" s="12" t="n"/>
      <c r="H40" s="15">
        <f>H37+H38+H39</f>
        <v/>
      </c>
      <c r="I40" s="12" t="n"/>
      <c r="J40" s="12" t="n"/>
      <c r="K40" s="15">
        <f>K37+K38+K39</f>
        <v/>
      </c>
      <c r="L40" s="12" t="n"/>
      <c r="M40" s="12" t="n"/>
      <c r="N40" s="15">
        <f>N37+N38+N39</f>
        <v/>
      </c>
      <c r="O40" s="12" t="n"/>
    </row>
    <row r="41">
      <c r="A41" s="12" t="n"/>
      <c r="B41" s="13" t="inlineStr">
        <is>
          <t>Custo por m2 construido (R$/m2)</t>
        </is>
      </c>
      <c r="C41" s="12" t="n"/>
      <c r="D41" s="12" t="n"/>
      <c r="E41" s="12" t="n"/>
      <c r="F41" s="12" t="n"/>
      <c r="G41" s="12" t="n"/>
      <c r="H41" s="14">
        <f>H40/$B$4</f>
        <v/>
      </c>
      <c r="I41" s="12" t="n"/>
      <c r="J41" s="12" t="n"/>
      <c r="K41" s="14">
        <f>K40/$B$4</f>
        <v/>
      </c>
      <c r="L41" s="12" t="n"/>
      <c r="M41" s="12" t="n"/>
      <c r="N41" s="14">
        <f>N40/$B$4</f>
        <v/>
      </c>
      <c r="O41" s="12" t="n"/>
    </row>
    <row r="42">
      <c r="A42" s="12" t="n"/>
      <c r="B42" s="13" t="inlineStr">
        <is>
          <t>Faixa do briefing - minimo (R$)</t>
        </is>
      </c>
      <c r="C42" s="12" t="n"/>
      <c r="D42" s="12" t="n"/>
      <c r="E42" s="12" t="n"/>
      <c r="F42" s="12" t="n"/>
      <c r="G42" s="12" t="n"/>
      <c r="H42" s="14" t="n">
        <v>360000</v>
      </c>
      <c r="I42" s="12" t="n"/>
      <c r="J42" s="12" t="n"/>
      <c r="K42" s="14" t="n">
        <v>360000</v>
      </c>
      <c r="L42" s="12" t="n"/>
      <c r="M42" s="12" t="n"/>
      <c r="N42" s="14" t="n">
        <v>360000</v>
      </c>
      <c r="O42" s="12" t="n"/>
    </row>
    <row r="43">
      <c r="A43" s="12" t="n"/>
      <c r="B43" s="13" t="inlineStr">
        <is>
          <t>Faixa do briefing - maximo (R$)</t>
        </is>
      </c>
      <c r="C43" s="12" t="n"/>
      <c r="D43" s="12" t="n"/>
      <c r="E43" s="12" t="n"/>
      <c r="F43" s="12" t="n"/>
      <c r="G43" s="12" t="n"/>
      <c r="H43" s="14" t="n">
        <v>480000</v>
      </c>
      <c r="I43" s="12" t="n"/>
      <c r="J43" s="12" t="n"/>
      <c r="K43" s="14" t="n">
        <v>480000</v>
      </c>
      <c r="L43" s="12" t="n"/>
      <c r="M43" s="12" t="n"/>
      <c r="N43" s="14" t="n">
        <v>480000</v>
      </c>
      <c r="O43" s="12" t="n"/>
    </row>
    <row r="44">
      <c r="A44" s="12" t="n"/>
      <c r="B44" s="13" t="inlineStr">
        <is>
          <t>Diferenca total x maximo do briefing (R$)</t>
        </is>
      </c>
      <c r="C44" s="12" t="n"/>
      <c r="D44" s="12" t="n"/>
      <c r="E44" s="12" t="n"/>
      <c r="F44" s="12" t="n"/>
      <c r="G44" s="12" t="n"/>
      <c r="H44" s="14">
        <f>H40-H43</f>
        <v/>
      </c>
      <c r="I44" s="12" t="n"/>
      <c r="J44" s="12" t="n"/>
      <c r="K44" s="14">
        <f>K40-K43</f>
        <v/>
      </c>
      <c r="L44" s="12" t="n"/>
      <c r="M44" s="12" t="n"/>
      <c r="N44" s="14">
        <f>N40-N43</f>
        <v/>
      </c>
      <c r="O44" s="12" t="n"/>
    </row>
    <row r="45">
      <c r="A45" s="12" t="n"/>
      <c r="B45" s="13" t="inlineStr">
        <is>
          <t>Situacao</t>
        </is>
      </c>
      <c r="C45" s="12" t="n"/>
      <c r="D45" s="12" t="n"/>
      <c r="E45" s="12" t="n"/>
      <c r="F45" s="12" t="n"/>
      <c r="G45" s="12" t="n"/>
      <c r="H45" s="12">
        <f>IF(H40&lt;=H43,"DENTRO DA FAIXA","ACIMA DA FAIXA")</f>
        <v/>
      </c>
      <c r="I45" s="12" t="n"/>
      <c r="J45" s="12" t="n"/>
      <c r="K45" s="12">
        <f>IF(K40&lt;=K43,"DENTRO DA FAIXA","ACIMA DA FAIXA")</f>
        <v/>
      </c>
      <c r="L45" s="12" t="n"/>
      <c r="M45" s="12" t="n"/>
      <c r="N45" s="12">
        <f>IF(N40&lt;=N43,"DENTRO DA FAIXA","ACIMA DA FAIXA")</f>
        <v/>
      </c>
      <c r="O45" s="12" t="n"/>
    </row>
    <row r="46">
      <c r="A46" s="12" t="n"/>
      <c r="B46" s="13" t="inlineStr">
        <is>
          <t>Conferencia: soma % CUB das categorias = 100%?</t>
        </is>
      </c>
      <c r="C46" s="12" t="n"/>
      <c r="D46" s="12">
        <f>IF(ABS(SUM(D15:D36)-1)&lt;0.0001,"OK","FALHA")</f>
        <v/>
      </c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6" t="inlineStr">
        <is>
          <t>ITENS NAO INCLUIDOS NO TOTAL (orcar a parte)</t>
        </is>
      </c>
    </row>
    <row r="3">
      <c r="A3" t="inlineStr">
        <is>
          <t>Moveis planejados completos (cozinha, closet, dormitorios, home, banheiros)</t>
        </is>
      </c>
    </row>
    <row r="4">
      <c r="A4" t="inlineStr">
        <is>
          <t>Eletrodomesticos</t>
        </is>
      </c>
    </row>
    <row r="5">
      <c r="A5" t="inlineStr">
        <is>
          <t>Muro frontal e muros de divisa</t>
        </is>
      </c>
    </row>
    <row r="6">
      <c r="A6" t="inlineStr">
        <is>
          <t>Portao(oes) do lote</t>
        </is>
      </c>
    </row>
    <row r="7">
      <c r="A7" t="inlineStr">
        <is>
          <t>Calcada publica</t>
        </is>
      </c>
    </row>
    <row r="8">
      <c r="A8" t="inlineStr">
        <is>
          <t>Decoracao, cortinas e tapetes</t>
        </is>
      </c>
    </row>
    <row r="9">
      <c r="A9" t="inlineStr">
        <is>
          <t>Ar-condicionado e aquecimento solar/gas (equipamentos)</t>
        </is>
      </c>
    </row>
    <row r="10">
      <c r="A10" t="inlineStr">
        <is>
          <t>Terreno, ITBI, escritura e financiamento</t>
        </is>
      </c>
    </row>
    <row r="11">
      <c r="A11" t="inlineStr">
        <is>
          <t>Ligacoes definitivas cobradas pelas concessionarias</t>
        </is>
      </c>
    </row>
    <row r="12">
      <c r="A12" t="inlineStr">
        <is>
          <t>Mudanca de padrao do cliente durante a obra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100" customWidth="1" min="4" max="4"/>
    <col width="45" customWidth="1" min="5" max="5"/>
  </cols>
  <sheetData>
    <row r="1">
      <c r="A1" s="3" t="inlineStr">
        <is>
          <t>Referencia</t>
        </is>
      </c>
      <c r="B1" s="3" t="inlineStr">
        <is>
          <t>Valor</t>
        </is>
      </c>
      <c r="C1" s="3" t="inlineStr">
        <is>
          <t>Data de referencia</t>
        </is>
      </c>
      <c r="D1" s="3" t="inlineStr">
        <is>
          <t>Fonte</t>
        </is>
      </c>
      <c r="E1" s="3" t="inlineStr">
        <is>
          <t>Status</t>
        </is>
      </c>
    </row>
    <row r="2">
      <c r="A2" t="inlineStr">
        <is>
          <t>CUB-SP R1-B (residencia unifamiliar, padrao baixo)</t>
        </is>
      </c>
      <c r="B2" t="inlineStr">
        <is>
          <t>R$ 2.190,76/m2</t>
        </is>
      </c>
      <c r="C2" t="inlineStr">
        <is>
          <t>ago/2026</t>
        </is>
      </c>
      <c r="D2" t="inlineStr">
        <is>
          <t>SindusCon-SP, reproduzido por Portal DORI em 03/09/2026: https://portaldori.com.br/2026/09/03/sinduscon-divulga-tabelas-de-custo-unitario-basico-no-estado-de-sao-paulo-referencia-agosto-de-2026/</t>
        </is>
      </c>
      <c r="E2" t="inlineStr">
        <is>
          <t>Fonte secundaria; conferir no site oficial do SindusCon-SP</t>
        </is>
      </c>
    </row>
    <row r="3">
      <c r="A3" t="inlineStr">
        <is>
          <t>CUB-SP R1-N (padrao normal)</t>
        </is>
      </c>
      <c r="B3" t="inlineStr">
        <is>
          <t>R$ 2.686,65/m2</t>
        </is>
      </c>
      <c r="C3" t="inlineStr">
        <is>
          <t>ago/2026</t>
        </is>
      </c>
      <c r="D3" t="inlineStr">
        <is>
          <t>idem</t>
        </is>
      </c>
      <c r="E3" t="inlineStr">
        <is>
          <t>Fonte secundaria</t>
        </is>
      </c>
    </row>
    <row r="4">
      <c r="A4" t="inlineStr">
        <is>
          <t>CUB-SP R1-A (padrao alto)</t>
        </is>
      </c>
      <c r="B4" t="inlineStr">
        <is>
          <t>R$ 3.249,37/m2</t>
        </is>
      </c>
      <c r="C4" t="inlineStr">
        <is>
          <t>ago/2026</t>
        </is>
      </c>
      <c r="D4" t="inlineStr">
        <is>
          <t>idem</t>
        </is>
      </c>
      <c r="E4" t="inlineStr">
        <is>
          <t>Fonte secundaria</t>
        </is>
      </c>
    </row>
    <row r="5">
      <c r="A5" t="inlineStr">
        <is>
          <t>SINAPI - custo medio m2 Estado de SP</t>
        </is>
      </c>
      <c r="B5" t="inlineStr">
        <is>
          <t>R$ 2.037,20/m2</t>
        </is>
      </c>
      <c r="C5" t="inlineStr">
        <is>
          <t>mai/2026</t>
        </is>
      </c>
      <c r="D5" t="inlineStr">
        <is>
          <t>IBGE, caderno SINAPI 05/2026: https://ftp.ibge.gov.br/Precos_Custos_e_Indices_da_Construcao_Civil/Fasciculo_Indicadores_IBGE/sinapi_202605caderno.pdf</t>
        </is>
      </c>
      <c r="E5" t="inlineStr">
        <is>
          <t>Referencia cruzada (padrao popular, sem acabamentos superiores)</t>
        </is>
      </c>
    </row>
    <row r="6">
      <c r="A6" t="inlineStr">
        <is>
          <t>SINAPI - custo medio m2 Brasil</t>
        </is>
      </c>
      <c r="B6" t="inlineStr">
        <is>
          <t>R$ 1.999,73/m2</t>
        </is>
      </c>
      <c r="C6" t="inlineStr">
        <is>
          <t>set/2026</t>
        </is>
      </c>
      <c r="D6" t="inlineStr">
        <is>
          <t>IBGE, caderno SINAPI 09/2026: https://ftp.ibge.gov.br/Precos_Custos_e_Indices_da_Construcao_Civil/Fasciculo_Indicadores_IBGE/sinapi_202609caderno.pdf</t>
        </is>
      </c>
      <c r="E6" t="inlineStr">
        <is>
          <t>Referencia cruzada</t>
        </is>
      </c>
    </row>
    <row r="7">
      <c r="A7" t="inlineStr">
        <is>
          <t>Distribuicao % por categoria, % material, verbas, ADM, contingencia</t>
        </is>
      </c>
      <c r="B7" t="inlineStr">
        <is>
          <t>-</t>
        </is>
      </c>
      <c r="C7" t="inlineStr">
        <is>
          <t>out/2026</t>
        </is>
      </c>
      <c r="D7" t="inlineStr">
        <is>
          <t>Estimativa do estudo (sem fonte verificavel)</t>
        </is>
      </c>
      <c r="E7" t="inlineStr">
        <is>
          <t>ESTIMATIVA - validar com orcamentos locais</t>
        </is>
      </c>
    </row>
    <row r="8">
      <c r="A8" t="inlineStr">
        <is>
          <t>Coeficientes de area equivalente (garagem 0,75; gourmet 0,75; sacada descoberta 0,40)</t>
        </is>
      </c>
      <c r="B8" t="inlineStr">
        <is>
          <t>-</t>
        </is>
      </c>
      <c r="C8" t="inlineStr">
        <is>
          <t>-</t>
        </is>
      </c>
      <c r="D8" t="inlineStr">
        <is>
          <t>Faixas usuais da ABNT NBR 12721 - valores adotados sao hipotese</t>
        </is>
      </c>
      <c r="E8" t="inlineStr">
        <is>
          <t>HIPOTESE</t>
        </is>
      </c>
    </row>
    <row r="9">
      <c r="A9" t="inlineStr">
        <is>
          <t>Observacao</t>
        </is>
      </c>
      <c r="B9" t="inlineStr">
        <is>
          <t>O CUB nao inclui fundacoes, projetos, taxas, BDI, paisagismo, equipamentos e itens especiais (NBR 12721); por isso esses itens entram como verbas separadas.</t>
        </is>
      </c>
      <c r="C9" t="inlineStr"/>
      <c r="D9" t="inlineStr"/>
      <c r="E9" t="inlineStr"/>
    </row>
    <row r="10">
      <c r="A10" t="inlineStr">
        <is>
          <t>Observacao</t>
        </is>
      </c>
      <c r="B10" t="inlineStr">
        <is>
          <t>Os valores do CUB sao do Estado de SP (amostra da capital/regiao). Cajamar (RMSP) tende a ter precos proximos, mas mao de obra especializada em EPS pode ser escassa e mais cara.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2026-10-26T13:01:30Z</dcterms:created>
  <dcterms:modified xmlns:dcterms="http://purl.org/dc/terms/" xmlns:xsi="http://www.w3.org/2001/XMLSchema-instance" xsi:type="dcterms:W3CDTF">2026-10-26T13:01:30Z</dcterms:modified>
</cp:coreProperties>
</file>